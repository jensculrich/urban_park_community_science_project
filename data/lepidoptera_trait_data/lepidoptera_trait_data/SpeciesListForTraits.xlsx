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AMER-PF2237NH\Documents\R\urban_park_community_science_project\data\lepidoptera_trait_data\lepidoptera_trait_data\"/>
    </mc:Choice>
  </mc:AlternateContent>
  <xr:revisionPtr revIDLastSave="0" documentId="13_ncr:1_{4E60037C-348F-4A17-8031-3070CA001A19}" xr6:coauthVersionLast="47" xr6:coauthVersionMax="47" xr10:uidLastSave="{00000000-0000-0000-0000-000000000000}"/>
  <bookViews>
    <workbookView xWindow="4656" yWindow="2004" windowWidth="15996" windowHeight="9816" xr2:uid="{00000000-000D-0000-FFFF-FFFF00000000}"/>
  </bookViews>
  <sheets>
    <sheet name="butterflyTraits_add_missing_spe" sheetId="1" r:id="rId1"/>
  </sheets>
  <definedNames>
    <definedName name="_xlnm._FilterDatabase" localSheetId="0" hidden="1">butterflyTraits_add_missing_spe!$A$1:$AA$339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7" i="1" l="1"/>
  <c r="G19" i="1"/>
  <c r="G18" i="1"/>
  <c r="G245" i="1"/>
  <c r="G158" i="1"/>
  <c r="G83" i="1"/>
  <c r="G22" i="1"/>
  <c r="G282" i="1"/>
</calcChain>
</file>

<file path=xl/sharedStrings.xml><?xml version="1.0" encoding="utf-8"?>
<sst xmlns="http://schemas.openxmlformats.org/spreadsheetml/2006/main" count="990" uniqueCount="519">
  <si>
    <t>aveWingspan</t>
  </si>
  <si>
    <t>black</t>
  </si>
  <si>
    <t>gray</t>
  </si>
  <si>
    <t>white</t>
  </si>
  <si>
    <t>brown</t>
  </si>
  <si>
    <t>red</t>
  </si>
  <si>
    <t>orange</t>
  </si>
  <si>
    <t>yellow</t>
  </si>
  <si>
    <t>green</t>
  </si>
  <si>
    <t>blue</t>
  </si>
  <si>
    <t>pink</t>
  </si>
  <si>
    <t>purple</t>
  </si>
  <si>
    <t>eyespot</t>
  </si>
  <si>
    <t>stripe</t>
  </si>
  <si>
    <t>checker</t>
  </si>
  <si>
    <t>tail</t>
  </si>
  <si>
    <t>band</t>
  </si>
  <si>
    <t>spot</t>
  </si>
  <si>
    <t>colorDiversity</t>
  </si>
  <si>
    <t>featureDiversity</t>
  </si>
  <si>
    <t>Abaeis nicippe</t>
  </si>
  <si>
    <t>Achalarus lyciades</t>
  </si>
  <si>
    <t>Aglais io</t>
  </si>
  <si>
    <t>Aglais milberti</t>
  </si>
  <si>
    <t>Agraulis vanillae</t>
  </si>
  <si>
    <t>Amblyscirtes celia</t>
  </si>
  <si>
    <t>Anaea aidea</t>
  </si>
  <si>
    <t>Anaea andria</t>
  </si>
  <si>
    <t>Anartia jatrophae</t>
  </si>
  <si>
    <t>Ancyloxypha numitor</t>
  </si>
  <si>
    <t>Anthanassa texana</t>
  </si>
  <si>
    <t>Anthanassa tulcis</t>
  </si>
  <si>
    <t>Anthocharis midea</t>
  </si>
  <si>
    <t>Anthocharis sara</t>
  </si>
  <si>
    <t>Apodemia mormo</t>
  </si>
  <si>
    <t>Ascia monuste</t>
  </si>
  <si>
    <t>Asterocampa celtis</t>
  </si>
  <si>
    <t>Asterocampa clyton</t>
  </si>
  <si>
    <t>Asterocampa leilia</t>
  </si>
  <si>
    <t>Atalopedes campestris</t>
  </si>
  <si>
    <t>Atlides halesus</t>
  </si>
  <si>
    <t>Atrytonopsis hianna</t>
  </si>
  <si>
    <t>Autochton cellus</t>
  </si>
  <si>
    <t>Battus philenor</t>
  </si>
  <si>
    <t>Battus polydamas</t>
  </si>
  <si>
    <t>Boloria bellona</t>
  </si>
  <si>
    <t>Boloria chariclea</t>
  </si>
  <si>
    <t>Boloria epithore</t>
  </si>
  <si>
    <t>Boloria eunomia</t>
  </si>
  <si>
    <t>Boloria freija</t>
  </si>
  <si>
    <t>Boloria frigga</t>
  </si>
  <si>
    <t>Boloria selene</t>
  </si>
  <si>
    <t>Brephidium exilis</t>
  </si>
  <si>
    <t>Calephelis nemesis</t>
  </si>
  <si>
    <t>Calephelis perditalis</t>
  </si>
  <si>
    <t>Calephelis virginiensis</t>
  </si>
  <si>
    <t>Callophrys niphon</t>
  </si>
  <si>
    <t>Callophrys polios</t>
  </si>
  <si>
    <t>Callophrys sheridanii</t>
  </si>
  <si>
    <t>Calpodes ethlius</t>
  </si>
  <si>
    <t>Calycopis cecrops</t>
  </si>
  <si>
    <t>Calycopis isobeon</t>
  </si>
  <si>
    <t>Caria ino</t>
  </si>
  <si>
    <t>Carterocephalus palaemon</t>
  </si>
  <si>
    <t>Celastrina echo</t>
  </si>
  <si>
    <t>Celastrina ladon</t>
  </si>
  <si>
    <t>Celastrina lucia</t>
  </si>
  <si>
    <t>Celastrina neglectamajor</t>
  </si>
  <si>
    <t>Cercyonis oetus</t>
  </si>
  <si>
    <t>Cercyonis pegala</t>
  </si>
  <si>
    <t>Cercyonis sthenele</t>
  </si>
  <si>
    <t>Chioides albofasciatus</t>
  </si>
  <si>
    <t>Chiomara georgina</t>
  </si>
  <si>
    <t>Chlorostrymon simaethis</t>
  </si>
  <si>
    <t>Chlosyne acastus</t>
  </si>
  <si>
    <t>Chlosyne gorgone</t>
  </si>
  <si>
    <t>Chlosyne harrisii</t>
  </si>
  <si>
    <t>Chlosyne janais</t>
  </si>
  <si>
    <t>Chlosyne lacinia</t>
  </si>
  <si>
    <t>Chlosyne nycteis</t>
  </si>
  <si>
    <t>Chlosyne palla</t>
  </si>
  <si>
    <t>Coenonympha tullia</t>
  </si>
  <si>
    <t>Cogia hippalus</t>
  </si>
  <si>
    <t>Colias alexandra</t>
  </si>
  <si>
    <t>Colias christina</t>
  </si>
  <si>
    <t>Colias eurytheme</t>
  </si>
  <si>
    <t>Colias gigantea</t>
  </si>
  <si>
    <t>Colias interior</t>
  </si>
  <si>
    <t>Colias palaeno</t>
  </si>
  <si>
    <t>Colias philodice</t>
  </si>
  <si>
    <t>Copaeodes aurantiaca</t>
  </si>
  <si>
    <t>Copaeodes minima</t>
  </si>
  <si>
    <t>Cyllopsis gemma</t>
  </si>
  <si>
    <t>Cymaenes trebius</t>
  </si>
  <si>
    <t>Danaus eresimus</t>
  </si>
  <si>
    <t>Danaus gilippus</t>
  </si>
  <si>
    <t>Danaus plexippus</t>
  </si>
  <si>
    <t>Dryas iulia</t>
  </si>
  <si>
    <t>Dymasia dymas</t>
  </si>
  <si>
    <t>Echinargus isola</t>
  </si>
  <si>
    <t>Epargyreus clarus</t>
  </si>
  <si>
    <t>Erebia discoidalis</t>
  </si>
  <si>
    <t>Erebia epipsodea</t>
  </si>
  <si>
    <t>Erebia mancinus</t>
  </si>
  <si>
    <t>Erynnis baptisiae</t>
  </si>
  <si>
    <t>Erynnis brizo</t>
  </si>
  <si>
    <t>Erynnis funeralis</t>
  </si>
  <si>
    <t>Erynnis horatius</t>
  </si>
  <si>
    <t>Erynnis icelus</t>
  </si>
  <si>
    <t>Erynnis juvenalis</t>
  </si>
  <si>
    <t>Erynnis lucilius</t>
  </si>
  <si>
    <t>Erynnis pacuvius</t>
  </si>
  <si>
    <t>Erynnis persius</t>
  </si>
  <si>
    <t>Erynnis propertius</t>
  </si>
  <si>
    <t>Erynnis tristis</t>
  </si>
  <si>
    <t>Erynnis zarucco</t>
  </si>
  <si>
    <t>Euchloe ausonides</t>
  </si>
  <si>
    <t>Euchloe lotta</t>
  </si>
  <si>
    <t>Euchloe olympia</t>
  </si>
  <si>
    <t>Eumaeus atala</t>
  </si>
  <si>
    <t>Euphilotes battoides</t>
  </si>
  <si>
    <t>Euphilotes enoptes</t>
  </si>
  <si>
    <t>Euphydryas phaeton</t>
  </si>
  <si>
    <t>Euphyes bimacula</t>
  </si>
  <si>
    <t>Euphyes conspicua</t>
  </si>
  <si>
    <t>Euphyes dion</t>
  </si>
  <si>
    <t>Euphyes vestris</t>
  </si>
  <si>
    <t>Euptoieta claudia</t>
  </si>
  <si>
    <t>Euptoieta hegesia</t>
  </si>
  <si>
    <t>Eurema boisduvaliana</t>
  </si>
  <si>
    <t>Eurema daira</t>
  </si>
  <si>
    <t>Eurema mexicana</t>
  </si>
  <si>
    <t>Feniseca tarquinius</t>
  </si>
  <si>
    <t>Ganyra josephina</t>
  </si>
  <si>
    <t>Glaucopsyche lygdamus</t>
  </si>
  <si>
    <t>Heliconius charithonia</t>
  </si>
  <si>
    <t>Heliopetes laviana</t>
  </si>
  <si>
    <t>Heliopetes macaira</t>
  </si>
  <si>
    <t>Hemiargus ceraunus</t>
  </si>
  <si>
    <t>Hermeuptychia sosybius</t>
  </si>
  <si>
    <t>Hesperia colorado</t>
  </si>
  <si>
    <t>Hesperia comma</t>
  </si>
  <si>
    <t>Hesperia juba</t>
  </si>
  <si>
    <t>Hesperia leonardus</t>
  </si>
  <si>
    <t>Hesperia sassacus</t>
  </si>
  <si>
    <t>Hylephila phyleus</t>
  </si>
  <si>
    <t>Junonia coenia</t>
  </si>
  <si>
    <t>Junonia evarete</t>
  </si>
  <si>
    <t>Junonia genoveva</t>
  </si>
  <si>
    <t>Kricogonia lyside</t>
  </si>
  <si>
    <t>Leptotes cassius</t>
  </si>
  <si>
    <t>Leptotes marina</t>
  </si>
  <si>
    <t>Lerema accius</t>
  </si>
  <si>
    <t>Lerodea eufala</t>
  </si>
  <si>
    <t>Libytheana carinenta</t>
  </si>
  <si>
    <t>Limenitis archippus</t>
  </si>
  <si>
    <t>Limenitis arthemis</t>
  </si>
  <si>
    <t>Limenitis lorquini</t>
  </si>
  <si>
    <t>Limenitis weidemeyerii</t>
  </si>
  <si>
    <t>Lycaena dione</t>
  </si>
  <si>
    <t>Lycaena dorcas</t>
  </si>
  <si>
    <t>Lycaena editha</t>
  </si>
  <si>
    <t>Lycaena epixanthe</t>
  </si>
  <si>
    <t>Lycaena helloides</t>
  </si>
  <si>
    <t>Lycaena heteronea</t>
  </si>
  <si>
    <t>Lycaena hyllus</t>
  </si>
  <si>
    <t>Lycaena mariposa</t>
  </si>
  <si>
    <t>Lycaena nivalis</t>
  </si>
  <si>
    <t>Lycaena phlaeas</t>
  </si>
  <si>
    <t>Marpesia petreus</t>
  </si>
  <si>
    <t>Melanis pixe</t>
  </si>
  <si>
    <t>Mestra amymone</t>
  </si>
  <si>
    <t>Ministrymon clytie</t>
  </si>
  <si>
    <t>Ministrymon leda</t>
  </si>
  <si>
    <t>Myscelia ethusa</t>
  </si>
  <si>
    <t>Nastra julia</t>
  </si>
  <si>
    <t>Nastra lherminier</t>
  </si>
  <si>
    <t>Nathalis iole</t>
  </si>
  <si>
    <t>Neonympha areolatus</t>
  </si>
  <si>
    <t>Neophasia menapia</t>
  </si>
  <si>
    <t>Nymphalis antiopa</t>
  </si>
  <si>
    <t>Nymphalis californica</t>
  </si>
  <si>
    <t>Nymphalis vaualbum</t>
  </si>
  <si>
    <t>Oarisma garita</t>
  </si>
  <si>
    <t>Ochlodes sylvanoides</t>
  </si>
  <si>
    <t>Oeneis bore</t>
  </si>
  <si>
    <t>Oeneis chryxus</t>
  </si>
  <si>
    <t>Oeneis jutta</t>
  </si>
  <si>
    <t>Oeneis macounii</t>
  </si>
  <si>
    <t>Oeneis polixenes</t>
  </si>
  <si>
    <t>Oligoria maculata</t>
  </si>
  <si>
    <t>Panoquina ocola</t>
  </si>
  <si>
    <t>Panoquina panoquin</t>
  </si>
  <si>
    <t>Papilio brevicauda</t>
  </si>
  <si>
    <t>Papilio canadensis</t>
  </si>
  <si>
    <t>Papilio cresphontes</t>
  </si>
  <si>
    <t>Papilio eurymedon</t>
  </si>
  <si>
    <t>Papilio glaucus</t>
  </si>
  <si>
    <t>Papilio indra</t>
  </si>
  <si>
    <t>Papilio machaon</t>
  </si>
  <si>
    <t>Papilio multicaudata</t>
  </si>
  <si>
    <t>Papilio palamedes</t>
  </si>
  <si>
    <t>Papilio rumiko</t>
  </si>
  <si>
    <t>Papilio rutulus</t>
  </si>
  <si>
    <t>Papilio troilus</t>
  </si>
  <si>
    <t>Papilio zelicaon</t>
  </si>
  <si>
    <t>Parnassius clodius</t>
  </si>
  <si>
    <t>Parnassius smintheus</t>
  </si>
  <si>
    <t>Parrhasius m-album</t>
  </si>
  <si>
    <t>Phoebis agarithe</t>
  </si>
  <si>
    <t>Phoebis philea</t>
  </si>
  <si>
    <t>Phoebis sennae</t>
  </si>
  <si>
    <t>Pholisora catullus</t>
  </si>
  <si>
    <t>Phyciodes batesii</t>
  </si>
  <si>
    <t>Phyciodes cocyta</t>
  </si>
  <si>
    <t>Phyciodes phaon</t>
  </si>
  <si>
    <t>Phyciodes pulchella</t>
  </si>
  <si>
    <t>Phyciodes tharos</t>
  </si>
  <si>
    <t>Pieris angelika</t>
  </si>
  <si>
    <t>Pieris marginalis</t>
  </si>
  <si>
    <t>Pieris oleracea</t>
  </si>
  <si>
    <t>Pieris rapae</t>
  </si>
  <si>
    <t>Pieris virginiensis</t>
  </si>
  <si>
    <t>Plebejus acmon</t>
  </si>
  <si>
    <t>Plebejus anna</t>
  </si>
  <si>
    <t>Plebejus glandon</t>
  </si>
  <si>
    <t>Plebejus idas</t>
  </si>
  <si>
    <t>Plebejus lupini</t>
  </si>
  <si>
    <t>Plebejus saepiolus</t>
  </si>
  <si>
    <t>Poanes hobomok</t>
  </si>
  <si>
    <t>Poanes massasoit</t>
  </si>
  <si>
    <t>Poanes taxiles</t>
  </si>
  <si>
    <t>Poanes viator</t>
  </si>
  <si>
    <t>Poanes zabulon</t>
  </si>
  <si>
    <t>Polites mystic</t>
  </si>
  <si>
    <t>Polites origenes</t>
  </si>
  <si>
    <t>Polites peckius</t>
  </si>
  <si>
    <t>Polites sabuleti</t>
  </si>
  <si>
    <t>Polites themistocles</t>
  </si>
  <si>
    <t>Polites vibex</t>
  </si>
  <si>
    <t>Polygonia comma</t>
  </si>
  <si>
    <t>Polygonia faunus</t>
  </si>
  <si>
    <t>Polygonia gracilis</t>
  </si>
  <si>
    <t>Polygonia interrogationis</t>
  </si>
  <si>
    <t>Polygonia oreas</t>
  </si>
  <si>
    <t>Polygonia progne</t>
  </si>
  <si>
    <t>Polygonia satyrus</t>
  </si>
  <si>
    <t>Polyommatus icarus</t>
  </si>
  <si>
    <t>Pompeius verna</t>
  </si>
  <si>
    <t>Pontia beckerii</t>
  </si>
  <si>
    <t>Pontia occidentalis</t>
  </si>
  <si>
    <t>Pontia protodice</t>
  </si>
  <si>
    <t>Pontia sisymbrii</t>
  </si>
  <si>
    <t>Problema byssus</t>
  </si>
  <si>
    <t>Pyrgus centaureae</t>
  </si>
  <si>
    <t>Pyrgus communis</t>
  </si>
  <si>
    <t>Pyrgus oileus</t>
  </si>
  <si>
    <t>Pyrgus ruralis</t>
  </si>
  <si>
    <t>Pyrisitia lisa</t>
  </si>
  <si>
    <t>Pyrisitia nise</t>
  </si>
  <si>
    <t>Pyrisitia proterpia</t>
  </si>
  <si>
    <t>Satyrium acadica</t>
  </si>
  <si>
    <t>Satyrium behrii</t>
  </si>
  <si>
    <t>Satyrium calanus</t>
  </si>
  <si>
    <t>Satyrium californica</t>
  </si>
  <si>
    <t>Satyrium caryaevorus</t>
  </si>
  <si>
    <t>Satyrium edwardsii</t>
  </si>
  <si>
    <t>Satyrium liparops</t>
  </si>
  <si>
    <t>Speyeria aphrodite</t>
  </si>
  <si>
    <t>Speyeria atlantis</t>
  </si>
  <si>
    <t>Speyeria callippe</t>
  </si>
  <si>
    <t>Speyeria cybele</t>
  </si>
  <si>
    <t>Speyeria diana</t>
  </si>
  <si>
    <t>Speyeria hesperis</t>
  </si>
  <si>
    <t>Speyeria hydaspe</t>
  </si>
  <si>
    <t>Speyeria mormonia</t>
  </si>
  <si>
    <t>Speyeria zerene</t>
  </si>
  <si>
    <t>Staphylus ceos</t>
  </si>
  <si>
    <t>Staphylus mazans</t>
  </si>
  <si>
    <t>Strymon bazochii</t>
  </si>
  <si>
    <t>Strymon melinus</t>
  </si>
  <si>
    <t>Systasea pulverulenta</t>
  </si>
  <si>
    <t>Systasea zampa</t>
  </si>
  <si>
    <t>Texola elada</t>
  </si>
  <si>
    <t>Thorybes pylades</t>
  </si>
  <si>
    <t>Thymelicus lineola</t>
  </si>
  <si>
    <t>Urbanus dorantes</t>
  </si>
  <si>
    <t>Urbanus procne</t>
  </si>
  <si>
    <t>Urbanus proteus</t>
  </si>
  <si>
    <t>Vanessa atalanta</t>
  </si>
  <si>
    <t>Vanessa cardui</t>
  </si>
  <si>
    <t>Vanessa virginiensis</t>
  </si>
  <si>
    <t>Wallengrenia otho</t>
  </si>
  <si>
    <t>Zerene cesonia</t>
  </si>
  <si>
    <t>Eantis tamenund</t>
  </si>
  <si>
    <t>Adelpha californica</t>
  </si>
  <si>
    <t>Anatrytone logan</t>
  </si>
  <si>
    <t>Cogia calchas</t>
  </si>
  <si>
    <t>Strymon istapa</t>
  </si>
  <si>
    <t>Vanessa annabella</t>
  </si>
  <si>
    <t>Phyciodes mylitta</t>
  </si>
  <si>
    <t>Satyrium titus</t>
  </si>
  <si>
    <t>Hermeuptychia hermybius</t>
  </si>
  <si>
    <t>Lethe anthedon</t>
  </si>
  <si>
    <t>Lethe appalachia</t>
  </si>
  <si>
    <t>Lethe creola</t>
  </si>
  <si>
    <t>Lethe eurydice</t>
  </si>
  <si>
    <t>Plebejus melissa</t>
  </si>
  <si>
    <t>Lycaena dospassosi</t>
  </si>
  <si>
    <t>Amblyscirtes aesculapius</t>
  </si>
  <si>
    <t>Amblyscirtes hegon</t>
  </si>
  <si>
    <t>Amblyscirtes vialis</t>
  </si>
  <si>
    <t>Quasimellana eulogius</t>
  </si>
  <si>
    <t>Euphydryas anicia</t>
  </si>
  <si>
    <t>Euphydryas chalcedona</t>
  </si>
  <si>
    <t>Occidryas chalcedona</t>
  </si>
  <si>
    <t>Euphydryas editha</t>
  </si>
  <si>
    <t>Poanes melane</t>
  </si>
  <si>
    <t>Phocides polybius</t>
  </si>
  <si>
    <t>Phyciodes graphica</t>
  </si>
  <si>
    <t>Satyrium sylvinus</t>
  </si>
  <si>
    <t>NA</t>
  </si>
  <si>
    <t>LepTraits_name</t>
  </si>
  <si>
    <t>Adelpha bredowii</t>
  </si>
  <si>
    <t>Callophrys augustinus</t>
  </si>
  <si>
    <t>Callophrys eryphon</t>
  </si>
  <si>
    <t>Callophrys gryneus</t>
  </si>
  <si>
    <t>Callophrys henrici</t>
  </si>
  <si>
    <t>Callophrys irus</t>
  </si>
  <si>
    <t>Callophrys lanoraieensis</t>
  </si>
  <si>
    <t>Celastrina neglecta</t>
  </si>
  <si>
    <t>Chlosyne theona</t>
  </si>
  <si>
    <t>Cupido amyntula</t>
  </si>
  <si>
    <t>Cupido comyntas</t>
  </si>
  <si>
    <t>Eurytides marcellus</t>
  </si>
  <si>
    <t>Megisto cymela</t>
  </si>
  <si>
    <t>Megisto rubricata</t>
  </si>
  <si>
    <t>Nymphalis l-album</t>
  </si>
  <si>
    <t>Icaricia icarioides</t>
  </si>
  <si>
    <t>Satyrium favonius</t>
  </si>
  <si>
    <t>Thorybes bathyllus</t>
  </si>
  <si>
    <t>Prolibythea carinenta</t>
  </si>
  <si>
    <t>Icaricia acmon</t>
  </si>
  <si>
    <t>Agriades glandon</t>
  </si>
  <si>
    <t>Icaricia lupini</t>
  </si>
  <si>
    <t>Icaricia saepiolus</t>
  </si>
  <si>
    <t>BAMONA_name</t>
  </si>
  <si>
    <t>Callophrus henrici</t>
  </si>
  <si>
    <t>Neographium marcellus</t>
  </si>
  <si>
    <t>Enodia anthedon</t>
  </si>
  <si>
    <t>Satyrodes appalachia</t>
  </si>
  <si>
    <t>Enodia creola</t>
  </si>
  <si>
    <t>Satyrodes eurydice</t>
  </si>
  <si>
    <t>Plebejus icarioides</t>
  </si>
  <si>
    <t>eButterfly_species</t>
  </si>
  <si>
    <t>GBIF_species</t>
  </si>
  <si>
    <t>GBIF_verbatimScientificName</t>
  </si>
  <si>
    <t>Thorybes lyciades</t>
  </si>
  <si>
    <t>Mastor aesculapius</t>
  </si>
  <si>
    <t>Mastor hegon</t>
  </si>
  <si>
    <t>Mastor vialis</t>
  </si>
  <si>
    <t>Atrytone delaware</t>
  </si>
  <si>
    <t>Anthocharis sara, Anthocharis thoosa</t>
  </si>
  <si>
    <t>Apodemia mormo, Apodemia mormo autumnalis, Apodemia mormo langei, Apodemia mormo parva, Apodemia mormo tuolumnensis</t>
  </si>
  <si>
    <t>Telegonus cellus</t>
  </si>
  <si>
    <t>Clossiana toddi</t>
  </si>
  <si>
    <t>Boloria chariclea, Argynnis butleri, Clossiana chariclea, Clossiana helena, Clossiana montinus</t>
  </si>
  <si>
    <t>Boloria eunomia, Proclossiana aphirape</t>
  </si>
  <si>
    <t>Boloria freija, Clossiana freija</t>
  </si>
  <si>
    <t>Boloria frigga, Clossiana frigga</t>
  </si>
  <si>
    <t>Boloria myrina, Boloria myrina atrocostalis, Boloria myrina myrina, Boloria myrina nebraskensis, Boloria myrina sabulocollis, Boloria myrina tollandensis, Boloria myrina terraenovae</t>
  </si>
  <si>
    <t>Caicella calchas</t>
  </si>
  <si>
    <t>Callicista columella</t>
  </si>
  <si>
    <t>Strymon columella, Strymon istapa, Strymon istapa clarionica, Strymon istapa clenchi, Strymon istapa cybira, Strymon istapa istapa, Strymon istapa modesta</t>
  </si>
  <si>
    <t xml:space="preserve">Callophrys augustinus, Callophrys augustinus annetteae, Callophrys augustinus concava, Callophrys augustinus iroides, </t>
  </si>
  <si>
    <t>Incisalia eryphon</t>
  </si>
  <si>
    <t>Mitoura gryneus, Mitoura nelsoni, Mitoura rosneri</t>
  </si>
  <si>
    <t>Incisalia henrici</t>
  </si>
  <si>
    <t>Thecla irus, Incisalia hadros</t>
  </si>
  <si>
    <t>Incisalia lanoraieensis</t>
  </si>
  <si>
    <t>Incisalia niphon</t>
  </si>
  <si>
    <t>Thecla sheridanii</t>
  </si>
  <si>
    <t>Caria ino, Caria ino ino, Caria ino melicerta</t>
  </si>
  <si>
    <t>Carterocephalus mandan, Carterocephalus mandan mandan, Carterocephalus skada, Carterocephalus skada magnus, Carterocephalus skada skada</t>
  </si>
  <si>
    <t>Celastrina echo, Celastrina echo cinerea, Celastrina echo echo, Celastrina echo gozora, Celastrina echo nigrescens, Celastrina echo sidara</t>
  </si>
  <si>
    <t>Cercyonis sthenele, Cercyonis paulus</t>
  </si>
  <si>
    <t>Chiomara georgina, Chiomara georgina georgina, Chiomara georgina pelagica</t>
  </si>
  <si>
    <t>Chlorostrymon simaethis, Thecla sarita</t>
  </si>
  <si>
    <t>Chlosyne acastus, Chlosyne sterope</t>
  </si>
  <si>
    <t>Chlosyne palla, Chlosyne palla eremita, Chlosyne palla flavula</t>
  </si>
  <si>
    <t>Thessalia theona</t>
  </si>
  <si>
    <t>Elkalyce comyntas, Elkalyce texana</t>
  </si>
  <si>
    <t>Euptychia cornelius</t>
  </si>
  <si>
    <t>Cyaniris neglecta</t>
  </si>
  <si>
    <t>Occidryas anicia</t>
  </si>
  <si>
    <t>Occidryas editha, Occidryas rubicunda</t>
  </si>
  <si>
    <t>Abaeis boisduvaliana</t>
  </si>
  <si>
    <t>Abaeis mexicana, Abaeis mexicana mexicana</t>
  </si>
  <si>
    <t>Protographium marcellus</t>
  </si>
  <si>
    <t>Glaucopsyche lygdamus, Cupido orcus</t>
  </si>
  <si>
    <t>Hesperia colorado, Hesperia colorado dodgei, Hesperia colorado idaho, Hesperia colorado leussleri, Hesperia colorado leussleri, Hesperia colorado ochracea, Hesperia colorado oregonia, Hesperia colorado tildeni</t>
  </si>
  <si>
    <t>Junonia evarete, Junonia nigrosuffusa, Junonia zonalis</t>
  </si>
  <si>
    <t>Junonia genoveva, Junonia genoveva genoveva, Junonia neildi, Junonia neildi varia</t>
  </si>
  <si>
    <t>Leptotes cassius, Leptotes theonus</t>
  </si>
  <si>
    <t>Limenitis weidemeyerii, Limenitis weidermeyerii</t>
  </si>
  <si>
    <t>Tharsalea dione</t>
  </si>
  <si>
    <t>Tharsalea dorcas, Tharsalea dorcas arcticus, Tharsalea dorcas claytoni, Tharsalea dorcas dorcas, Tharsalea dorcas florus, Tharsalea dorcas sangremar</t>
  </si>
  <si>
    <t>Tharsalea dospassosi</t>
  </si>
  <si>
    <t>Tharsalea editha, Tharsalea editha montana, Tharsalea editha vurali</t>
  </si>
  <si>
    <t>Tharsalea epixanthe, Tharsalea epixanthe epixanthe, Tharsalea epixanthe phaedra</t>
  </si>
  <si>
    <t>Tharsalea helloides</t>
  </si>
  <si>
    <t>Tharsalea heteronea, Tharsalea heteronea gravenotata, Tharsalea heteronea heteronea, Tharsalea heteronea klotsi</t>
  </si>
  <si>
    <t>Tharsalea hyllus</t>
  </si>
  <si>
    <t>Tharsalea mariposa, Tharsalea mariposa charlottensis, Tharsalea mariposa penroseae</t>
  </si>
  <si>
    <t>Tharsalea nivalis, Tharsalea nivalis bichroma, Tharsalea nivalis browni, Tharsalea nivalis warnermontana</t>
  </si>
  <si>
    <t>Lycaena phlaeas, Lycaena hypophlaeas, Lycaena arethusa</t>
  </si>
  <si>
    <t>Euptychia cymela</t>
  </si>
  <si>
    <t>Cissia rubricata</t>
  </si>
  <si>
    <t>Polygonia vaualbum</t>
  </si>
  <si>
    <t>Oeneis chryxus, Oeneis ivallda</t>
  </si>
  <si>
    <t>Phocides polybius, Phocides lilea</t>
  </si>
  <si>
    <t>Phyciodes cocyta, Phyciodes cocyta cocyta, Phyciodes cocyta incognitus, Phyciodes cocyta selenis</t>
  </si>
  <si>
    <t>Phyciodes vesta</t>
  </si>
  <si>
    <t>Eresia aveyrana</t>
  </si>
  <si>
    <t>Phyciodes pulchella, Phyciodes pulchella camillus, Phyciodes pulchella montana, Phyciodes pulchella pulchella, Phyciodes pulchella tutchone</t>
  </si>
  <si>
    <t>Phyciodes tharos, Phyciodes tharos orantain, Phyciodes tharos riocolorado, Phyciodes tharos tharos</t>
  </si>
  <si>
    <t>Icaricia icarioides, Plebejus maricopa</t>
  </si>
  <si>
    <t>Lycaeides idas, Plebejus scudderii</t>
  </si>
  <si>
    <t>Lycaeides melissa</t>
  </si>
  <si>
    <t>Lon hobomok</t>
  </si>
  <si>
    <t>Lon melane</t>
  </si>
  <si>
    <t>Lon taxiles</t>
  </si>
  <si>
    <t>Lon zabulon</t>
  </si>
  <si>
    <t>Polygonia faunus, Polygonia hylas</t>
  </si>
  <si>
    <t>Vernia verna</t>
  </si>
  <si>
    <t>Pyrgus centaureae, Pyrgus wyandot</t>
  </si>
  <si>
    <t>Burnsius communis</t>
  </si>
  <si>
    <t>Burnsius oileus</t>
  </si>
  <si>
    <t>Mellana eulogius</t>
  </si>
  <si>
    <t>Satyrium calanus, Satyrium calanus calanus, Satyrium calanus falacer, Satyrium calanus godarti</t>
  </si>
  <si>
    <t>Satyrium californica, Satyrium californica cygnus, Satyrium californica obscurafacies</t>
  </si>
  <si>
    <t>Fixsenia favonius, Fixsenia ontario, Thecla autolycus</t>
  </si>
  <si>
    <t>Strymon sylvinus, Thecla dryope, Thecla putnami</t>
  </si>
  <si>
    <t>Harkenclenus titus</t>
  </si>
  <si>
    <t xml:space="preserve">Speyeria atlantis, Speyeria atlantis canadensis, Speyeria atlantis hollandi </t>
  </si>
  <si>
    <t>Speyeria callippe, Speyeria nevadensis</t>
  </si>
  <si>
    <t>Speyeria cybele, Speyeria leto</t>
  </si>
  <si>
    <t>Speyeria hesperis, Speyeria hesperis beani, Speyeria hesperis capitanensis, Speyeria hesperis chitone, Speyeria hesperis cottlei, Speyeria hesperis dodgei, Speyeria hesperis dorothea, Speyeria hesperis electa, Speyeria hesperis irene, Speyeria hesperis nausicaa, Speyeria hesperis ratonensis, Speyeria hesperis schellbachi, Speyeria hesperis tetonia</t>
  </si>
  <si>
    <t>Strymon melinus, Thecla pudica</t>
  </si>
  <si>
    <t>Thorybes daunus</t>
  </si>
  <si>
    <t>Thorybes dorantes, Thorybes dorantes calafia, Thorybes dorantes dorantes, Thorybes dorantes santiago</t>
  </si>
  <si>
    <t>Polites otho, Polites otho clavus, Polites otho otho</t>
  </si>
  <si>
    <t>Dione vanillae</t>
  </si>
  <si>
    <t>is_migratory</t>
  </si>
  <si>
    <t>Chowdhury_name</t>
  </si>
  <si>
    <t>Eurema_nicippe</t>
  </si>
  <si>
    <t>Inachis io</t>
  </si>
  <si>
    <t>Braphidium exilis</t>
  </si>
  <si>
    <t>Hylephila phylaeus</t>
  </si>
  <si>
    <t>Kricognia lyside</t>
  </si>
  <si>
    <t>Lereme accius</t>
  </si>
  <si>
    <t>Eurema lisa</t>
  </si>
  <si>
    <t>UNKNOWN</t>
  </si>
  <si>
    <t>Apodemia virgulti</t>
  </si>
  <si>
    <t>Pyrgus albescens</t>
  </si>
  <si>
    <t>Burnsius albescens</t>
  </si>
  <si>
    <t>Callophrys dumetorum</t>
  </si>
  <si>
    <t>Burnsius albezens</t>
  </si>
  <si>
    <t>Incisalia irioides</t>
  </si>
  <si>
    <t>Chlosyne gabbii</t>
  </si>
  <si>
    <t>Coenonympha california</t>
  </si>
  <si>
    <t>Elkalyce amyntula, Everes amyntula</t>
  </si>
  <si>
    <t>Heliopetes ericetorum</t>
  </si>
  <si>
    <t>Junonia grisea</t>
  </si>
  <si>
    <t>Ochlodes agricola</t>
  </si>
  <si>
    <t>Panoquina errans</t>
  </si>
  <si>
    <t>Papilio polyxenes</t>
  </si>
  <si>
    <t>Philotes bernardino</t>
  </si>
  <si>
    <t>Euphilotes bernardino</t>
  </si>
  <si>
    <t>Strymon saepium</t>
  </si>
  <si>
    <t>Satyrium saepium</t>
  </si>
  <si>
    <t>Limenitis bredowii</t>
  </si>
  <si>
    <t>Limenitis astyanax</t>
  </si>
  <si>
    <t>Polites coras</t>
  </si>
  <si>
    <t>notes</t>
  </si>
  <si>
    <t>wingspan value is the average from BAMONA</t>
  </si>
  <si>
    <t>Chiodes catillus</t>
  </si>
  <si>
    <t>Hermeuptychia hermes</t>
  </si>
  <si>
    <t>Oarisma minima</t>
  </si>
  <si>
    <t>Polites otho</t>
  </si>
  <si>
    <t>Callophrys viridis</t>
  </si>
  <si>
    <t>Phoebis marcellina</t>
  </si>
  <si>
    <t>Oarisma aurantiaca</t>
  </si>
  <si>
    <t>Mastor celia</t>
  </si>
  <si>
    <t>Polites egeremet</t>
  </si>
  <si>
    <t>Anthocharis cethura</t>
  </si>
  <si>
    <t>Chlosyne californica</t>
  </si>
  <si>
    <t>Eresia aveyrona</t>
  </si>
  <si>
    <t>Thecla irioides</t>
  </si>
  <si>
    <t>Hemiargus ramon</t>
  </si>
  <si>
    <t>Thecla iroides</t>
  </si>
  <si>
    <t>Chioides catillus</t>
  </si>
  <si>
    <t>Phaeostrymon alcestis</t>
  </si>
  <si>
    <t>Argynnis cybele</t>
  </si>
  <si>
    <t>Mestra dorcas</t>
  </si>
  <si>
    <t>Lycaena phlaeas</t>
  </si>
  <si>
    <t>Argynnis callippe</t>
  </si>
  <si>
    <t>Pterourus canadensis</t>
  </si>
  <si>
    <t>Heraclides cresphontes</t>
  </si>
  <si>
    <t>Pterourus eurymedon</t>
  </si>
  <si>
    <t>Pterourus glaucus</t>
  </si>
  <si>
    <t>Pterourus palamedes</t>
  </si>
  <si>
    <t>Pterourus rutulus</t>
  </si>
  <si>
    <t>Pterourus troilus</t>
  </si>
  <si>
    <t>Anteos clorinde</t>
  </si>
  <si>
    <t>Anteos maerula</t>
  </si>
  <si>
    <t>Enodia portlandia</t>
  </si>
  <si>
    <t>Lethe portlandia</t>
  </si>
  <si>
    <t>Lycaena hypophlaeas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</si>
</sst>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9966"/>
        <bgColor indexed="64"/>
      </patternFill>
    </fill>
    <fill>
      <patternFill patternType="solid">
        <fgColor theme="5"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8" fillId="33" borderId="0" xfId="0" applyFont="1" applyFill="1"/>
    <xf numFmtId="0" fontId="0" fillId="33" borderId="0" xfId="0" applyFill="1"/>
    <xf numFmtId="0" fontId="0" fillId="34" borderId="0" xfId="0" applyFill="1"/>
    <xf numFmtId="0" fontId="18" fillId="34" borderId="0" xfId="0" applyFon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47"/>
  <sheetViews>
    <sheetView tabSelected="1" topLeftCell="P1" zoomScale="85" zoomScaleNormal="85" workbookViewId="0">
      <pane ySplit="1" topLeftCell="A328" activePane="bottomLeft" state="frozen"/>
      <selection pane="bottomLeft" activeCell="AA332" sqref="AA332"/>
    </sheetView>
  </sheetViews>
  <sheetFormatPr defaultColWidth="10.796875" defaultRowHeight="15.6" x14ac:dyDescent="0.3"/>
  <cols>
    <col min="1" max="1" width="26.796875" style="1" customWidth="1"/>
    <col min="2" max="2" width="19.296875" style="1" customWidth="1"/>
    <col min="3" max="3" width="26.796875" style="1" customWidth="1"/>
    <col min="4" max="4" width="19.296875" style="1" customWidth="1"/>
    <col min="5" max="5" width="17" style="1" customWidth="1"/>
    <col min="6" max="6" width="20.5" style="1" customWidth="1"/>
    <col min="7" max="7" width="10.796875" style="1"/>
    <col min="8" max="26" width="10.796875" style="1" customWidth="1"/>
    <col min="28" max="16384" width="10.796875" style="1"/>
  </cols>
  <sheetData>
    <row r="1" spans="1:28" x14ac:dyDescent="0.3">
      <c r="A1" t="s">
        <v>354</v>
      </c>
      <c r="B1" t="s">
        <v>355</v>
      </c>
      <c r="C1" t="s">
        <v>356</v>
      </c>
      <c r="D1" t="s">
        <v>322</v>
      </c>
      <c r="E1" t="s">
        <v>346</v>
      </c>
      <c r="F1" t="s">
        <v>454</v>
      </c>
      <c r="G1" t="s">
        <v>0</v>
      </c>
      <c r="H1" t="s">
        <v>1</v>
      </c>
      <c r="I1" t="s">
        <v>2</v>
      </c>
      <c r="J1" t="s">
        <v>3</v>
      </c>
      <c r="K1" t="s">
        <v>4</v>
      </c>
      <c r="L1" t="s">
        <v>5</v>
      </c>
      <c r="M1" t="s">
        <v>6</v>
      </c>
      <c r="N1" t="s">
        <v>7</v>
      </c>
      <c r="O1" t="s">
        <v>8</v>
      </c>
      <c r="P1" t="s">
        <v>9</v>
      </c>
      <c r="Q1" t="s">
        <v>10</v>
      </c>
      <c r="R1" t="s">
        <v>11</v>
      </c>
      <c r="S1" t="s">
        <v>12</v>
      </c>
      <c r="T1" t="s">
        <v>13</v>
      </c>
      <c r="U1" t="s">
        <v>14</v>
      </c>
      <c r="V1" t="s">
        <v>15</v>
      </c>
      <c r="W1" t="s">
        <v>16</v>
      </c>
      <c r="X1" t="s">
        <v>17</v>
      </c>
      <c r="Y1" t="s">
        <v>18</v>
      </c>
      <c r="Z1" t="s">
        <v>19</v>
      </c>
      <c r="AA1" t="s">
        <v>453</v>
      </c>
      <c r="AB1" s="1" t="s">
        <v>484</v>
      </c>
    </row>
    <row r="2" spans="1:28" x14ac:dyDescent="0.3">
      <c r="A2" t="s">
        <v>20</v>
      </c>
      <c r="B2" t="s">
        <v>20</v>
      </c>
      <c r="C2"/>
      <c r="D2" t="s">
        <v>20</v>
      </c>
      <c r="E2"/>
      <c r="F2" t="s">
        <v>455</v>
      </c>
      <c r="G2">
        <v>3.9350000000000001</v>
      </c>
      <c r="H2">
        <v>1</v>
      </c>
      <c r="I2">
        <v>0</v>
      </c>
      <c r="J2">
        <v>0</v>
      </c>
      <c r="K2">
        <v>1</v>
      </c>
      <c r="L2">
        <v>1</v>
      </c>
      <c r="M2">
        <v>1</v>
      </c>
      <c r="N2">
        <v>1</v>
      </c>
      <c r="O2">
        <v>0</v>
      </c>
      <c r="P2">
        <v>0</v>
      </c>
      <c r="Q2">
        <v>0</v>
      </c>
      <c r="R2">
        <v>0</v>
      </c>
      <c r="S2">
        <v>0</v>
      </c>
      <c r="T2">
        <v>0</v>
      </c>
      <c r="U2">
        <v>0</v>
      </c>
      <c r="V2">
        <v>0</v>
      </c>
      <c r="W2">
        <v>0</v>
      </c>
      <c r="X2">
        <v>1</v>
      </c>
      <c r="Y2">
        <v>5</v>
      </c>
      <c r="Z2">
        <v>1</v>
      </c>
      <c r="AA2" t="b">
        <v>1</v>
      </c>
    </row>
    <row r="3" spans="1:28" x14ac:dyDescent="0.3">
      <c r="A3" t="s">
        <v>21</v>
      </c>
      <c r="B3" t="s">
        <v>357</v>
      </c>
      <c r="C3" t="s">
        <v>357</v>
      </c>
      <c r="D3" t="s">
        <v>21</v>
      </c>
      <c r="E3"/>
      <c r="F3"/>
      <c r="G3">
        <v>4.8650000000000002</v>
      </c>
      <c r="H3">
        <v>1</v>
      </c>
      <c r="I3">
        <v>0</v>
      </c>
      <c r="J3">
        <v>1</v>
      </c>
      <c r="K3">
        <v>1</v>
      </c>
      <c r="L3">
        <v>1</v>
      </c>
      <c r="M3">
        <v>0</v>
      </c>
      <c r="N3">
        <v>0</v>
      </c>
      <c r="O3">
        <v>0</v>
      </c>
      <c r="P3">
        <v>0</v>
      </c>
      <c r="Q3">
        <v>0</v>
      </c>
      <c r="R3">
        <v>0</v>
      </c>
      <c r="S3">
        <v>0</v>
      </c>
      <c r="T3">
        <v>0</v>
      </c>
      <c r="U3">
        <v>1</v>
      </c>
      <c r="V3">
        <v>0</v>
      </c>
      <c r="W3">
        <v>1</v>
      </c>
      <c r="X3">
        <v>0</v>
      </c>
      <c r="Y3">
        <v>4</v>
      </c>
      <c r="Z3">
        <v>2</v>
      </c>
      <c r="AA3" t="b">
        <v>1</v>
      </c>
    </row>
    <row r="4" spans="1:28" x14ac:dyDescent="0.3">
      <c r="A4" t="s">
        <v>294</v>
      </c>
      <c r="B4"/>
      <c r="C4" t="s">
        <v>294</v>
      </c>
      <c r="D4" t="s">
        <v>294</v>
      </c>
      <c r="E4" t="s">
        <v>294</v>
      </c>
      <c r="F4"/>
      <c r="G4" t="s">
        <v>321</v>
      </c>
      <c r="H4">
        <v>0</v>
      </c>
      <c r="I4">
        <v>1</v>
      </c>
      <c r="J4">
        <v>0</v>
      </c>
      <c r="K4">
        <v>1</v>
      </c>
      <c r="L4">
        <v>0</v>
      </c>
      <c r="M4">
        <v>0</v>
      </c>
      <c r="N4">
        <v>0</v>
      </c>
      <c r="O4">
        <v>0</v>
      </c>
      <c r="P4">
        <v>1</v>
      </c>
      <c r="Q4">
        <v>0</v>
      </c>
      <c r="R4">
        <v>1</v>
      </c>
      <c r="S4">
        <v>0</v>
      </c>
      <c r="T4">
        <v>0</v>
      </c>
      <c r="U4">
        <v>0</v>
      </c>
      <c r="V4">
        <v>0</v>
      </c>
      <c r="W4">
        <v>1</v>
      </c>
      <c r="X4">
        <v>1</v>
      </c>
      <c r="Y4">
        <v>4</v>
      </c>
      <c r="Z4">
        <v>2</v>
      </c>
      <c r="AA4" t="b">
        <v>0</v>
      </c>
    </row>
    <row r="5" spans="1:28" s="2" customFormat="1" x14ac:dyDescent="0.3">
      <c r="A5" s="3" t="s">
        <v>295</v>
      </c>
      <c r="B5" s="3" t="s">
        <v>481</v>
      </c>
      <c r="C5" s="3" t="s">
        <v>295</v>
      </c>
      <c r="D5" s="3" t="s">
        <v>323</v>
      </c>
      <c r="E5" s="3" t="s">
        <v>295</v>
      </c>
      <c r="F5" s="3" t="s">
        <v>323</v>
      </c>
      <c r="G5" s="3">
        <v>7.2333299999999996</v>
      </c>
      <c r="H5" s="3">
        <v>1</v>
      </c>
      <c r="I5" s="3">
        <v>0</v>
      </c>
      <c r="J5" s="3">
        <v>1</v>
      </c>
      <c r="K5" s="3">
        <v>1</v>
      </c>
      <c r="L5" s="3">
        <v>0</v>
      </c>
      <c r="M5" s="3">
        <v>1</v>
      </c>
      <c r="N5" s="3">
        <v>0</v>
      </c>
      <c r="O5" s="3">
        <v>0</v>
      </c>
      <c r="P5" s="3">
        <v>1</v>
      </c>
      <c r="Q5" s="3">
        <v>0</v>
      </c>
      <c r="R5" s="3">
        <v>0</v>
      </c>
      <c r="S5" s="3">
        <v>0</v>
      </c>
      <c r="T5" s="3">
        <v>0</v>
      </c>
      <c r="U5" s="3">
        <v>0</v>
      </c>
      <c r="V5" s="3">
        <v>0</v>
      </c>
      <c r="W5" s="3">
        <v>1</v>
      </c>
      <c r="X5" s="3">
        <v>0</v>
      </c>
      <c r="Y5" s="3">
        <v>5</v>
      </c>
      <c r="Z5" s="3">
        <v>1</v>
      </c>
      <c r="AA5" s="3" t="s">
        <v>462</v>
      </c>
    </row>
    <row r="6" spans="1:28" x14ac:dyDescent="0.3">
      <c r="A6" t="s">
        <v>22</v>
      </c>
      <c r="B6" t="s">
        <v>22</v>
      </c>
      <c r="C6"/>
      <c r="D6" t="s">
        <v>22</v>
      </c>
      <c r="E6"/>
      <c r="F6" t="s">
        <v>456</v>
      </c>
      <c r="G6">
        <v>4.55</v>
      </c>
      <c r="H6">
        <v>1</v>
      </c>
      <c r="I6">
        <v>0</v>
      </c>
      <c r="J6">
        <v>0</v>
      </c>
      <c r="K6">
        <v>1</v>
      </c>
      <c r="L6">
        <v>0</v>
      </c>
      <c r="M6">
        <v>0</v>
      </c>
      <c r="N6">
        <v>0</v>
      </c>
      <c r="O6">
        <v>0</v>
      </c>
      <c r="P6">
        <v>1</v>
      </c>
      <c r="Q6">
        <v>0</v>
      </c>
      <c r="R6">
        <v>0</v>
      </c>
      <c r="S6">
        <v>0</v>
      </c>
      <c r="T6">
        <v>0</v>
      </c>
      <c r="U6">
        <v>0</v>
      </c>
      <c r="V6">
        <v>0</v>
      </c>
      <c r="W6">
        <v>0</v>
      </c>
      <c r="X6">
        <v>1</v>
      </c>
      <c r="Y6">
        <v>3</v>
      </c>
      <c r="Z6">
        <v>1</v>
      </c>
      <c r="AA6" t="b">
        <v>1</v>
      </c>
    </row>
    <row r="7" spans="1:28" x14ac:dyDescent="0.3">
      <c r="A7" t="s">
        <v>23</v>
      </c>
      <c r="B7" t="s">
        <v>23</v>
      </c>
      <c r="C7"/>
      <c r="D7" t="s">
        <v>23</v>
      </c>
      <c r="E7"/>
      <c r="F7"/>
      <c r="G7">
        <v>4.92</v>
      </c>
      <c r="H7">
        <v>1</v>
      </c>
      <c r="I7">
        <v>0</v>
      </c>
      <c r="J7">
        <v>0</v>
      </c>
      <c r="K7">
        <v>0</v>
      </c>
      <c r="L7">
        <v>1</v>
      </c>
      <c r="M7">
        <v>1</v>
      </c>
      <c r="N7">
        <v>1</v>
      </c>
      <c r="O7">
        <v>0</v>
      </c>
      <c r="P7">
        <v>1</v>
      </c>
      <c r="Q7">
        <v>0</v>
      </c>
      <c r="R7">
        <v>0</v>
      </c>
      <c r="S7">
        <v>0</v>
      </c>
      <c r="T7">
        <v>0</v>
      </c>
      <c r="U7">
        <v>0</v>
      </c>
      <c r="V7">
        <v>0</v>
      </c>
      <c r="W7">
        <v>1</v>
      </c>
      <c r="X7">
        <v>1</v>
      </c>
      <c r="Y7">
        <v>5</v>
      </c>
      <c r="Z7">
        <v>2</v>
      </c>
      <c r="AA7" t="b">
        <v>1</v>
      </c>
    </row>
    <row r="8" spans="1:28" x14ac:dyDescent="0.3">
      <c r="A8" t="s">
        <v>24</v>
      </c>
      <c r="B8" t="s">
        <v>452</v>
      </c>
      <c r="C8"/>
      <c r="D8" t="s">
        <v>24</v>
      </c>
      <c r="E8"/>
      <c r="F8"/>
      <c r="G8">
        <v>6.6550000000000002</v>
      </c>
      <c r="H8">
        <v>1</v>
      </c>
      <c r="I8">
        <v>0</v>
      </c>
      <c r="J8">
        <v>1</v>
      </c>
      <c r="K8">
        <v>1</v>
      </c>
      <c r="L8">
        <v>0</v>
      </c>
      <c r="M8">
        <v>1</v>
      </c>
      <c r="N8">
        <v>0</v>
      </c>
      <c r="O8">
        <v>0</v>
      </c>
      <c r="P8">
        <v>0</v>
      </c>
      <c r="Q8">
        <v>0</v>
      </c>
      <c r="R8">
        <v>0</v>
      </c>
      <c r="S8">
        <v>0</v>
      </c>
      <c r="T8">
        <v>0</v>
      </c>
      <c r="U8">
        <v>0</v>
      </c>
      <c r="V8">
        <v>0</v>
      </c>
      <c r="W8">
        <v>0</v>
      </c>
      <c r="X8">
        <v>1</v>
      </c>
      <c r="Y8">
        <v>4</v>
      </c>
      <c r="Z8">
        <v>1</v>
      </c>
      <c r="AA8" t="b">
        <v>1</v>
      </c>
    </row>
    <row r="9" spans="1:28" x14ac:dyDescent="0.3">
      <c r="A9" t="s">
        <v>309</v>
      </c>
      <c r="B9" t="s">
        <v>358</v>
      </c>
      <c r="C9"/>
      <c r="D9" t="s">
        <v>309</v>
      </c>
      <c r="E9" t="s">
        <v>309</v>
      </c>
      <c r="F9"/>
      <c r="G9">
        <v>3.25</v>
      </c>
      <c r="H9">
        <v>1</v>
      </c>
      <c r="I9">
        <v>0</v>
      </c>
      <c r="J9">
        <v>1</v>
      </c>
      <c r="K9">
        <v>1</v>
      </c>
      <c r="L9">
        <v>0</v>
      </c>
      <c r="M9">
        <v>0</v>
      </c>
      <c r="N9">
        <v>1</v>
      </c>
      <c r="O9">
        <v>0</v>
      </c>
      <c r="P9">
        <v>0</v>
      </c>
      <c r="Q9">
        <v>0</v>
      </c>
      <c r="R9">
        <v>0</v>
      </c>
      <c r="S9">
        <v>0</v>
      </c>
      <c r="T9">
        <v>0</v>
      </c>
      <c r="U9">
        <v>1</v>
      </c>
      <c r="V9">
        <v>0</v>
      </c>
      <c r="W9">
        <v>0</v>
      </c>
      <c r="X9">
        <v>1</v>
      </c>
      <c r="Y9">
        <v>4</v>
      </c>
      <c r="Z9">
        <v>2</v>
      </c>
      <c r="AA9" t="b">
        <v>0</v>
      </c>
    </row>
    <row r="10" spans="1:28" x14ac:dyDescent="0.3">
      <c r="A10" t="s">
        <v>310</v>
      </c>
      <c r="B10" t="s">
        <v>359</v>
      </c>
      <c r="C10"/>
      <c r="D10" t="s">
        <v>310</v>
      </c>
      <c r="E10" t="s">
        <v>310</v>
      </c>
      <c r="F10"/>
      <c r="G10">
        <v>2.5099999999999998</v>
      </c>
      <c r="H10">
        <v>1</v>
      </c>
      <c r="I10">
        <v>1</v>
      </c>
      <c r="J10">
        <v>0</v>
      </c>
      <c r="K10">
        <v>1</v>
      </c>
      <c r="L10">
        <v>1</v>
      </c>
      <c r="M10">
        <v>0</v>
      </c>
      <c r="N10">
        <v>0</v>
      </c>
      <c r="O10">
        <v>1</v>
      </c>
      <c r="P10">
        <v>0</v>
      </c>
      <c r="Q10">
        <v>0</v>
      </c>
      <c r="R10">
        <v>0</v>
      </c>
      <c r="S10">
        <v>0</v>
      </c>
      <c r="T10">
        <v>0</v>
      </c>
      <c r="U10">
        <v>0</v>
      </c>
      <c r="V10">
        <v>0</v>
      </c>
      <c r="W10">
        <v>1</v>
      </c>
      <c r="X10">
        <v>1</v>
      </c>
      <c r="Y10">
        <v>5</v>
      </c>
      <c r="Z10">
        <v>2</v>
      </c>
      <c r="AA10" t="b">
        <v>0</v>
      </c>
    </row>
    <row r="11" spans="1:28" x14ac:dyDescent="0.3">
      <c r="A11" t="s">
        <v>311</v>
      </c>
      <c r="B11" t="s">
        <v>360</v>
      </c>
      <c r="C11"/>
      <c r="D11" t="s">
        <v>311</v>
      </c>
      <c r="E11" t="s">
        <v>311</v>
      </c>
      <c r="F11"/>
      <c r="G11">
        <v>2.5277500000000002</v>
      </c>
      <c r="H11">
        <v>1</v>
      </c>
      <c r="I11">
        <v>1</v>
      </c>
      <c r="J11">
        <v>1</v>
      </c>
      <c r="K11">
        <v>1</v>
      </c>
      <c r="L11">
        <v>0</v>
      </c>
      <c r="M11">
        <v>0</v>
      </c>
      <c r="N11">
        <v>0</v>
      </c>
      <c r="O11">
        <v>0</v>
      </c>
      <c r="P11">
        <v>0</v>
      </c>
      <c r="Q11">
        <v>0</v>
      </c>
      <c r="R11">
        <v>0</v>
      </c>
      <c r="S11">
        <v>0</v>
      </c>
      <c r="T11">
        <v>0</v>
      </c>
      <c r="U11">
        <v>0</v>
      </c>
      <c r="V11">
        <v>0</v>
      </c>
      <c r="W11">
        <v>0</v>
      </c>
      <c r="X11">
        <v>1</v>
      </c>
      <c r="Y11">
        <v>4</v>
      </c>
      <c r="Z11">
        <v>1</v>
      </c>
      <c r="AA11" t="b">
        <v>0</v>
      </c>
    </row>
    <row r="12" spans="1:28" x14ac:dyDescent="0.3">
      <c r="A12" t="s">
        <v>25</v>
      </c>
      <c r="B12" s="3" t="s">
        <v>493</v>
      </c>
      <c r="C12" t="s">
        <v>25</v>
      </c>
      <c r="D12" t="s">
        <v>25</v>
      </c>
      <c r="E12"/>
      <c r="F12"/>
      <c r="G12">
        <v>2.5</v>
      </c>
      <c r="H12">
        <v>0</v>
      </c>
      <c r="I12">
        <v>1</v>
      </c>
      <c r="J12">
        <v>1</v>
      </c>
      <c r="K12">
        <v>1</v>
      </c>
      <c r="L12">
        <v>0</v>
      </c>
      <c r="M12">
        <v>0</v>
      </c>
      <c r="N12">
        <v>0</v>
      </c>
      <c r="O12">
        <v>0</v>
      </c>
      <c r="P12">
        <v>0</v>
      </c>
      <c r="Q12">
        <v>0</v>
      </c>
      <c r="R12">
        <v>0</v>
      </c>
      <c r="S12">
        <v>0</v>
      </c>
      <c r="T12">
        <v>0</v>
      </c>
      <c r="U12">
        <v>0</v>
      </c>
      <c r="V12">
        <v>0</v>
      </c>
      <c r="W12">
        <v>0</v>
      </c>
      <c r="X12">
        <v>1</v>
      </c>
      <c r="Y12">
        <v>3</v>
      </c>
      <c r="Z12">
        <v>1</v>
      </c>
      <c r="AA12" t="b">
        <v>0</v>
      </c>
    </row>
    <row r="13" spans="1:28" x14ac:dyDescent="0.3">
      <c r="A13" t="s">
        <v>26</v>
      </c>
      <c r="B13" t="s">
        <v>26</v>
      </c>
      <c r="C13"/>
      <c r="D13" t="s">
        <v>26</v>
      </c>
      <c r="E13"/>
      <c r="F13"/>
      <c r="G13">
        <v>7</v>
      </c>
      <c r="H13">
        <v>0</v>
      </c>
      <c r="I13">
        <v>0</v>
      </c>
      <c r="J13">
        <v>0</v>
      </c>
      <c r="K13">
        <v>0</v>
      </c>
      <c r="L13">
        <v>0</v>
      </c>
      <c r="M13">
        <v>0</v>
      </c>
      <c r="N13">
        <v>0</v>
      </c>
      <c r="O13">
        <v>0</v>
      </c>
      <c r="P13">
        <v>0</v>
      </c>
      <c r="Q13">
        <v>0</v>
      </c>
      <c r="R13">
        <v>0</v>
      </c>
      <c r="S13">
        <v>0</v>
      </c>
      <c r="T13">
        <v>0</v>
      </c>
      <c r="U13">
        <v>0</v>
      </c>
      <c r="V13">
        <v>0</v>
      </c>
      <c r="W13">
        <v>0</v>
      </c>
      <c r="X13">
        <v>0</v>
      </c>
      <c r="Y13">
        <v>0</v>
      </c>
      <c r="Z13">
        <v>0</v>
      </c>
      <c r="AA13" t="b">
        <v>0</v>
      </c>
    </row>
    <row r="14" spans="1:28" x14ac:dyDescent="0.3">
      <c r="A14" t="s">
        <v>27</v>
      </c>
      <c r="B14" t="s">
        <v>27</v>
      </c>
      <c r="C14"/>
      <c r="D14" t="s">
        <v>27</v>
      </c>
      <c r="E14"/>
      <c r="F14"/>
      <c r="G14">
        <v>6.39</v>
      </c>
      <c r="H14">
        <v>0</v>
      </c>
      <c r="I14">
        <v>0</v>
      </c>
      <c r="J14">
        <v>0</v>
      </c>
      <c r="K14">
        <v>0</v>
      </c>
      <c r="L14">
        <v>1</v>
      </c>
      <c r="M14">
        <v>0</v>
      </c>
      <c r="N14">
        <v>1</v>
      </c>
      <c r="O14">
        <v>0</v>
      </c>
      <c r="P14">
        <v>0</v>
      </c>
      <c r="Q14">
        <v>0</v>
      </c>
      <c r="R14">
        <v>0</v>
      </c>
      <c r="S14">
        <v>0</v>
      </c>
      <c r="T14">
        <v>0</v>
      </c>
      <c r="U14">
        <v>0</v>
      </c>
      <c r="V14">
        <v>1</v>
      </c>
      <c r="W14">
        <v>1</v>
      </c>
      <c r="X14">
        <v>0</v>
      </c>
      <c r="Y14">
        <v>2</v>
      </c>
      <c r="Z14">
        <v>2</v>
      </c>
      <c r="AA14" t="b">
        <v>0</v>
      </c>
    </row>
    <row r="15" spans="1:28" x14ac:dyDescent="0.3">
      <c r="A15" t="s">
        <v>28</v>
      </c>
      <c r="B15" t="s">
        <v>28</v>
      </c>
      <c r="C15"/>
      <c r="D15" t="s">
        <v>28</v>
      </c>
      <c r="E15"/>
      <c r="F15"/>
      <c r="G15">
        <v>5.03</v>
      </c>
      <c r="H15">
        <v>1</v>
      </c>
      <c r="I15">
        <v>0</v>
      </c>
      <c r="J15">
        <v>1</v>
      </c>
      <c r="K15">
        <v>1</v>
      </c>
      <c r="L15">
        <v>0</v>
      </c>
      <c r="M15">
        <v>0</v>
      </c>
      <c r="N15">
        <v>0</v>
      </c>
      <c r="O15">
        <v>0</v>
      </c>
      <c r="P15">
        <v>0</v>
      </c>
      <c r="Q15">
        <v>0</v>
      </c>
      <c r="R15">
        <v>0</v>
      </c>
      <c r="S15">
        <v>0</v>
      </c>
      <c r="T15">
        <v>0</v>
      </c>
      <c r="U15">
        <v>0</v>
      </c>
      <c r="V15">
        <v>0</v>
      </c>
      <c r="W15">
        <v>0</v>
      </c>
      <c r="X15">
        <v>1</v>
      </c>
      <c r="Y15">
        <v>3</v>
      </c>
      <c r="Z15">
        <v>1</v>
      </c>
      <c r="AA15" t="b">
        <v>0</v>
      </c>
    </row>
    <row r="16" spans="1:28" x14ac:dyDescent="0.3">
      <c r="A16" t="s">
        <v>296</v>
      </c>
      <c r="B16" t="s">
        <v>361</v>
      </c>
      <c r="C16"/>
      <c r="D16" t="s">
        <v>296</v>
      </c>
      <c r="E16" t="s">
        <v>296</v>
      </c>
      <c r="F16"/>
      <c r="G16">
        <v>3.0777800000000002</v>
      </c>
      <c r="H16">
        <v>1</v>
      </c>
      <c r="I16">
        <v>0</v>
      </c>
      <c r="J16">
        <v>0</v>
      </c>
      <c r="K16">
        <v>0</v>
      </c>
      <c r="L16">
        <v>0</v>
      </c>
      <c r="M16">
        <v>1</v>
      </c>
      <c r="N16">
        <v>1</v>
      </c>
      <c r="O16">
        <v>0</v>
      </c>
      <c r="P16">
        <v>0</v>
      </c>
      <c r="Q16">
        <v>0</v>
      </c>
      <c r="R16">
        <v>0</v>
      </c>
      <c r="S16">
        <v>0</v>
      </c>
      <c r="T16">
        <v>0</v>
      </c>
      <c r="U16">
        <v>0</v>
      </c>
      <c r="V16">
        <v>0</v>
      </c>
      <c r="W16">
        <v>0</v>
      </c>
      <c r="X16">
        <v>0</v>
      </c>
      <c r="Y16">
        <v>3</v>
      </c>
      <c r="Z16">
        <v>0</v>
      </c>
      <c r="AA16" t="b">
        <v>0</v>
      </c>
    </row>
    <row r="17" spans="1:27" x14ac:dyDescent="0.3">
      <c r="A17" t="s">
        <v>29</v>
      </c>
      <c r="B17" t="s">
        <v>29</v>
      </c>
      <c r="C17"/>
      <c r="D17" t="s">
        <v>29</v>
      </c>
      <c r="E17"/>
      <c r="F17"/>
      <c r="G17">
        <v>2.29</v>
      </c>
      <c r="H17">
        <v>1</v>
      </c>
      <c r="I17">
        <v>0</v>
      </c>
      <c r="J17">
        <v>0</v>
      </c>
      <c r="K17">
        <v>0</v>
      </c>
      <c r="L17">
        <v>0</v>
      </c>
      <c r="M17">
        <v>1</v>
      </c>
      <c r="N17">
        <v>1</v>
      </c>
      <c r="O17">
        <v>0</v>
      </c>
      <c r="P17">
        <v>0</v>
      </c>
      <c r="Q17">
        <v>0</v>
      </c>
      <c r="R17">
        <v>0</v>
      </c>
      <c r="S17">
        <v>0</v>
      </c>
      <c r="T17">
        <v>0</v>
      </c>
      <c r="U17">
        <v>0</v>
      </c>
      <c r="V17">
        <v>0</v>
      </c>
      <c r="W17">
        <v>0</v>
      </c>
      <c r="X17">
        <v>0</v>
      </c>
      <c r="Y17">
        <v>3</v>
      </c>
      <c r="Z17">
        <v>0</v>
      </c>
      <c r="AA17" t="b">
        <v>0</v>
      </c>
    </row>
    <row r="18" spans="1:27" s="2" customFormat="1" x14ac:dyDescent="0.3">
      <c r="A18" s="3"/>
      <c r="B18" s="3" t="s">
        <v>514</v>
      </c>
      <c r="C18" s="3"/>
      <c r="D18" s="3"/>
      <c r="E18" s="3"/>
      <c r="F18" s="3"/>
      <c r="G18" s="3">
        <f>(6.4+8.4)/2</f>
        <v>7.4</v>
      </c>
      <c r="H18" s="3"/>
      <c r="I18" s="3"/>
      <c r="J18" s="3"/>
      <c r="K18" s="3"/>
      <c r="L18" s="3"/>
      <c r="M18" s="3"/>
      <c r="N18" s="3"/>
      <c r="O18" s="3"/>
      <c r="P18" s="3"/>
      <c r="Q18" s="3"/>
      <c r="R18" s="3"/>
      <c r="S18" s="3">
        <v>0</v>
      </c>
      <c r="T18" s="3">
        <v>0</v>
      </c>
      <c r="U18" s="3">
        <v>0</v>
      </c>
      <c r="V18" s="3">
        <v>0</v>
      </c>
      <c r="W18" s="3">
        <v>0</v>
      </c>
      <c r="X18" s="3">
        <v>0</v>
      </c>
      <c r="Y18" s="3">
        <v>0</v>
      </c>
      <c r="Z18" s="3">
        <v>0</v>
      </c>
      <c r="AA18" s="3" t="b">
        <v>1</v>
      </c>
    </row>
    <row r="19" spans="1:27" s="2" customFormat="1" x14ac:dyDescent="0.3">
      <c r="A19" s="3"/>
      <c r="B19" s="3" t="s">
        <v>515</v>
      </c>
      <c r="C19" s="3"/>
      <c r="D19" s="3"/>
      <c r="E19" s="3"/>
      <c r="F19" s="3"/>
      <c r="G19" s="3">
        <f>(7.4+8.8)/2</f>
        <v>8.1000000000000014</v>
      </c>
      <c r="H19" s="3"/>
      <c r="I19" s="3"/>
      <c r="J19" s="3"/>
      <c r="K19" s="3"/>
      <c r="L19" s="3"/>
      <c r="M19" s="3"/>
      <c r="N19" s="3"/>
      <c r="O19" s="3"/>
      <c r="P19" s="3"/>
      <c r="Q19" s="3"/>
      <c r="R19" s="3"/>
      <c r="S19" s="3">
        <v>0</v>
      </c>
      <c r="T19" s="3">
        <v>0</v>
      </c>
      <c r="U19" s="3">
        <v>0</v>
      </c>
      <c r="V19" s="3">
        <v>0</v>
      </c>
      <c r="W19" s="3">
        <v>0</v>
      </c>
      <c r="X19" s="3">
        <v>1</v>
      </c>
      <c r="Y19" s="3">
        <v>0</v>
      </c>
      <c r="Z19" s="3">
        <v>1</v>
      </c>
      <c r="AA19" s="3" t="b">
        <v>1</v>
      </c>
    </row>
    <row r="20" spans="1:27" x14ac:dyDescent="0.3">
      <c r="A20" t="s">
        <v>30</v>
      </c>
      <c r="B20" s="3" t="s">
        <v>30</v>
      </c>
      <c r="C20"/>
      <c r="D20" t="s">
        <v>30</v>
      </c>
      <c r="E20"/>
      <c r="F20"/>
      <c r="G20">
        <v>3.7349999999999999</v>
      </c>
      <c r="H20">
        <v>1</v>
      </c>
      <c r="I20">
        <v>0</v>
      </c>
      <c r="J20">
        <v>1</v>
      </c>
      <c r="K20">
        <v>0</v>
      </c>
      <c r="L20">
        <v>1</v>
      </c>
      <c r="M20">
        <v>0</v>
      </c>
      <c r="N20">
        <v>0</v>
      </c>
      <c r="O20">
        <v>0</v>
      </c>
      <c r="P20">
        <v>0</v>
      </c>
      <c r="Q20">
        <v>0</v>
      </c>
      <c r="R20">
        <v>0</v>
      </c>
      <c r="S20">
        <v>0</v>
      </c>
      <c r="T20">
        <v>0</v>
      </c>
      <c r="U20">
        <v>0</v>
      </c>
      <c r="V20">
        <v>0</v>
      </c>
      <c r="W20">
        <v>1</v>
      </c>
      <c r="X20">
        <v>1</v>
      </c>
      <c r="Y20">
        <v>3</v>
      </c>
      <c r="Z20">
        <v>2</v>
      </c>
      <c r="AA20" t="b">
        <v>0</v>
      </c>
    </row>
    <row r="21" spans="1:27" x14ac:dyDescent="0.3">
      <c r="A21" t="s">
        <v>31</v>
      </c>
      <c r="B21" t="s">
        <v>31</v>
      </c>
      <c r="C21"/>
      <c r="D21" t="s">
        <v>321</v>
      </c>
      <c r="E21"/>
      <c r="F21"/>
      <c r="G21" t="s">
        <v>321</v>
      </c>
      <c r="H21">
        <v>1</v>
      </c>
      <c r="I21">
        <v>0</v>
      </c>
      <c r="J21">
        <v>1</v>
      </c>
      <c r="K21">
        <v>0</v>
      </c>
      <c r="L21">
        <v>0</v>
      </c>
      <c r="M21">
        <v>0</v>
      </c>
      <c r="N21">
        <v>0</v>
      </c>
      <c r="O21">
        <v>0</v>
      </c>
      <c r="P21">
        <v>0</v>
      </c>
      <c r="Q21">
        <v>0</v>
      </c>
      <c r="R21">
        <v>0</v>
      </c>
      <c r="S21">
        <v>0</v>
      </c>
      <c r="T21">
        <v>0</v>
      </c>
      <c r="U21">
        <v>0</v>
      </c>
      <c r="V21">
        <v>0</v>
      </c>
      <c r="W21">
        <v>1</v>
      </c>
      <c r="X21">
        <v>0</v>
      </c>
      <c r="Y21">
        <v>2</v>
      </c>
      <c r="Z21">
        <v>1</v>
      </c>
      <c r="AA21" t="b">
        <v>0</v>
      </c>
    </row>
    <row r="22" spans="1:27" s="2" customFormat="1" x14ac:dyDescent="0.3">
      <c r="B22" s="3" t="s">
        <v>495</v>
      </c>
      <c r="C22" s="3"/>
      <c r="D22" s="3" t="s">
        <v>495</v>
      </c>
      <c r="E22" s="3" t="s">
        <v>495</v>
      </c>
      <c r="F22" s="3"/>
      <c r="G22" s="3">
        <f>(2.6 + 4) / 2</f>
        <v>3.3</v>
      </c>
      <c r="H22" s="3"/>
      <c r="I22" s="3"/>
      <c r="J22" s="3"/>
      <c r="K22" s="3"/>
      <c r="L22" s="3"/>
      <c r="M22" s="3"/>
      <c r="N22" s="3"/>
      <c r="O22" s="3"/>
      <c r="P22" s="3"/>
      <c r="Q22" s="3"/>
      <c r="R22" s="3"/>
      <c r="S22" s="3">
        <v>0</v>
      </c>
      <c r="T22" s="3">
        <v>0</v>
      </c>
      <c r="U22" s="3">
        <v>0</v>
      </c>
      <c r="V22" s="3">
        <v>0</v>
      </c>
      <c r="W22" s="3">
        <v>0</v>
      </c>
      <c r="X22" s="3">
        <v>1</v>
      </c>
      <c r="Y22" s="3"/>
      <c r="Z22" s="3">
        <v>1</v>
      </c>
      <c r="AA22" s="3" t="b">
        <v>0</v>
      </c>
    </row>
    <row r="23" spans="1:27" x14ac:dyDescent="0.3">
      <c r="A23" t="s">
        <v>32</v>
      </c>
      <c r="B23" t="s">
        <v>32</v>
      </c>
      <c r="C23"/>
      <c r="D23" t="s">
        <v>32</v>
      </c>
      <c r="E23"/>
      <c r="F23"/>
      <c r="G23">
        <v>3.75</v>
      </c>
      <c r="H23">
        <v>1</v>
      </c>
      <c r="I23">
        <v>0</v>
      </c>
      <c r="J23">
        <v>0</v>
      </c>
      <c r="K23">
        <v>0</v>
      </c>
      <c r="L23">
        <v>0</v>
      </c>
      <c r="M23">
        <v>1</v>
      </c>
      <c r="N23">
        <v>0</v>
      </c>
      <c r="O23">
        <v>1</v>
      </c>
      <c r="P23">
        <v>0</v>
      </c>
      <c r="Q23">
        <v>0</v>
      </c>
      <c r="R23">
        <v>0</v>
      </c>
      <c r="S23">
        <v>0</v>
      </c>
      <c r="T23">
        <v>0</v>
      </c>
      <c r="U23">
        <v>0</v>
      </c>
      <c r="V23">
        <v>0</v>
      </c>
      <c r="W23">
        <v>0</v>
      </c>
      <c r="X23">
        <v>1</v>
      </c>
      <c r="Y23">
        <v>3</v>
      </c>
      <c r="Z23">
        <v>1</v>
      </c>
      <c r="AA23" t="b">
        <v>0</v>
      </c>
    </row>
    <row r="24" spans="1:27" x14ac:dyDescent="0.3">
      <c r="A24" t="s">
        <v>33</v>
      </c>
      <c r="B24" t="s">
        <v>362</v>
      </c>
      <c r="C24"/>
      <c r="D24" t="s">
        <v>33</v>
      </c>
      <c r="E24"/>
      <c r="F24"/>
      <c r="G24">
        <v>3.46</v>
      </c>
      <c r="H24">
        <v>1</v>
      </c>
      <c r="I24">
        <v>0</v>
      </c>
      <c r="J24">
        <v>1</v>
      </c>
      <c r="K24">
        <v>0</v>
      </c>
      <c r="L24">
        <v>1</v>
      </c>
      <c r="M24">
        <v>1</v>
      </c>
      <c r="N24">
        <v>1</v>
      </c>
      <c r="O24">
        <v>1</v>
      </c>
      <c r="P24">
        <v>0</v>
      </c>
      <c r="Q24">
        <v>0</v>
      </c>
      <c r="R24">
        <v>0</v>
      </c>
      <c r="S24">
        <v>0</v>
      </c>
      <c r="T24">
        <v>0</v>
      </c>
      <c r="U24">
        <v>0</v>
      </c>
      <c r="V24">
        <v>0</v>
      </c>
      <c r="W24">
        <v>0</v>
      </c>
      <c r="X24">
        <v>1</v>
      </c>
      <c r="Y24">
        <v>6</v>
      </c>
      <c r="Z24">
        <v>1</v>
      </c>
      <c r="AA24" t="b">
        <v>0</v>
      </c>
    </row>
    <row r="25" spans="1:27" x14ac:dyDescent="0.3">
      <c r="A25" t="s">
        <v>34</v>
      </c>
      <c r="B25"/>
      <c r="C25" t="s">
        <v>363</v>
      </c>
      <c r="D25" t="s">
        <v>34</v>
      </c>
      <c r="E25"/>
      <c r="F25"/>
      <c r="G25">
        <v>2.5249999999999999</v>
      </c>
      <c r="H25">
        <v>1</v>
      </c>
      <c r="I25">
        <v>1</v>
      </c>
      <c r="J25">
        <v>1</v>
      </c>
      <c r="K25">
        <v>1</v>
      </c>
      <c r="L25">
        <v>1</v>
      </c>
      <c r="M25">
        <v>1</v>
      </c>
      <c r="N25">
        <v>0</v>
      </c>
      <c r="O25">
        <v>0</v>
      </c>
      <c r="P25">
        <v>0</v>
      </c>
      <c r="Q25">
        <v>0</v>
      </c>
      <c r="R25">
        <v>0</v>
      </c>
      <c r="S25">
        <v>0</v>
      </c>
      <c r="T25">
        <v>0</v>
      </c>
      <c r="U25">
        <v>1</v>
      </c>
      <c r="V25">
        <v>0</v>
      </c>
      <c r="W25">
        <v>0</v>
      </c>
      <c r="X25">
        <v>1</v>
      </c>
      <c r="Y25">
        <v>6</v>
      </c>
      <c r="Z25">
        <v>2</v>
      </c>
      <c r="AA25" t="b">
        <v>0</v>
      </c>
    </row>
    <row r="26" spans="1:27" s="2" customFormat="1" x14ac:dyDescent="0.3">
      <c r="A26" s="3"/>
      <c r="B26" s="3" t="s">
        <v>463</v>
      </c>
      <c r="C26" s="3"/>
      <c r="D26" s="3" t="s">
        <v>463</v>
      </c>
      <c r="E26" s="3" t="s">
        <v>463</v>
      </c>
      <c r="F26" s="3"/>
      <c r="G26" s="3">
        <v>2.5249999999999999</v>
      </c>
      <c r="H26" s="3"/>
      <c r="I26" s="3"/>
      <c r="J26" s="3"/>
      <c r="K26" s="3"/>
      <c r="L26" s="3"/>
      <c r="M26" s="3"/>
      <c r="N26" s="3"/>
      <c r="O26" s="3"/>
      <c r="P26" s="3"/>
      <c r="Q26" s="3"/>
      <c r="R26" s="3"/>
      <c r="S26" s="3">
        <v>0</v>
      </c>
      <c r="T26" s="3">
        <v>0</v>
      </c>
      <c r="U26" s="3">
        <v>1</v>
      </c>
      <c r="V26" s="3">
        <v>0</v>
      </c>
      <c r="W26" s="3">
        <v>0</v>
      </c>
      <c r="X26" s="3">
        <v>1</v>
      </c>
      <c r="Y26" s="3"/>
      <c r="Z26" s="3">
        <v>2</v>
      </c>
      <c r="AA26" s="3" t="b">
        <v>0</v>
      </c>
    </row>
    <row r="27" spans="1:27" x14ac:dyDescent="0.3">
      <c r="A27" t="s">
        <v>35</v>
      </c>
      <c r="B27" t="s">
        <v>35</v>
      </c>
      <c r="C27"/>
      <c r="D27" t="s">
        <v>35</v>
      </c>
      <c r="E27"/>
      <c r="F27"/>
      <c r="G27">
        <v>5.53</v>
      </c>
      <c r="H27">
        <v>1</v>
      </c>
      <c r="I27">
        <v>0</v>
      </c>
      <c r="J27">
        <v>1</v>
      </c>
      <c r="K27">
        <v>0</v>
      </c>
      <c r="L27">
        <v>0</v>
      </c>
      <c r="M27">
        <v>0</v>
      </c>
      <c r="N27">
        <v>0</v>
      </c>
      <c r="O27">
        <v>0</v>
      </c>
      <c r="P27">
        <v>0</v>
      </c>
      <c r="Q27">
        <v>0</v>
      </c>
      <c r="R27">
        <v>0</v>
      </c>
      <c r="S27">
        <v>0</v>
      </c>
      <c r="T27">
        <v>0</v>
      </c>
      <c r="U27">
        <v>0</v>
      </c>
      <c r="V27">
        <v>0</v>
      </c>
      <c r="W27">
        <v>0</v>
      </c>
      <c r="X27">
        <v>1</v>
      </c>
      <c r="Y27">
        <v>2</v>
      </c>
      <c r="Z27">
        <v>1</v>
      </c>
      <c r="AA27" t="b">
        <v>1</v>
      </c>
    </row>
    <row r="28" spans="1:27" x14ac:dyDescent="0.3">
      <c r="A28" t="s">
        <v>36</v>
      </c>
      <c r="B28" t="s">
        <v>36</v>
      </c>
      <c r="C28"/>
      <c r="D28" t="s">
        <v>36</v>
      </c>
      <c r="E28"/>
      <c r="F28"/>
      <c r="G28">
        <v>5.2625000000000002</v>
      </c>
      <c r="H28">
        <v>1</v>
      </c>
      <c r="I28">
        <v>0</v>
      </c>
      <c r="J28">
        <v>1</v>
      </c>
      <c r="K28">
        <v>1</v>
      </c>
      <c r="L28">
        <v>1</v>
      </c>
      <c r="M28">
        <v>0</v>
      </c>
      <c r="N28">
        <v>0</v>
      </c>
      <c r="O28">
        <v>0</v>
      </c>
      <c r="P28">
        <v>0</v>
      </c>
      <c r="Q28">
        <v>0</v>
      </c>
      <c r="R28">
        <v>0</v>
      </c>
      <c r="S28">
        <v>1</v>
      </c>
      <c r="T28">
        <v>0</v>
      </c>
      <c r="U28">
        <v>0</v>
      </c>
      <c r="V28">
        <v>0</v>
      </c>
      <c r="W28">
        <v>0</v>
      </c>
      <c r="X28">
        <v>1</v>
      </c>
      <c r="Y28">
        <v>4</v>
      </c>
      <c r="Z28">
        <v>2</v>
      </c>
      <c r="AA28" t="b">
        <v>1</v>
      </c>
    </row>
    <row r="29" spans="1:27" x14ac:dyDescent="0.3">
      <c r="A29" t="s">
        <v>37</v>
      </c>
      <c r="B29" t="s">
        <v>37</v>
      </c>
      <c r="C29"/>
      <c r="D29" t="s">
        <v>37</v>
      </c>
      <c r="E29"/>
      <c r="F29"/>
      <c r="G29">
        <v>5.7125000000000004</v>
      </c>
      <c r="H29">
        <v>1</v>
      </c>
      <c r="I29">
        <v>0</v>
      </c>
      <c r="J29">
        <v>1</v>
      </c>
      <c r="K29">
        <v>1</v>
      </c>
      <c r="L29">
        <v>0</v>
      </c>
      <c r="M29">
        <v>1</v>
      </c>
      <c r="N29">
        <v>0</v>
      </c>
      <c r="O29">
        <v>0</v>
      </c>
      <c r="P29">
        <v>0</v>
      </c>
      <c r="Q29">
        <v>0</v>
      </c>
      <c r="R29">
        <v>0</v>
      </c>
      <c r="S29">
        <v>1</v>
      </c>
      <c r="T29">
        <v>0</v>
      </c>
      <c r="U29">
        <v>0</v>
      </c>
      <c r="V29">
        <v>0</v>
      </c>
      <c r="W29">
        <v>0</v>
      </c>
      <c r="X29">
        <v>1</v>
      </c>
      <c r="Y29">
        <v>4</v>
      </c>
      <c r="Z29">
        <v>2</v>
      </c>
      <c r="AA29" t="b">
        <v>1</v>
      </c>
    </row>
    <row r="30" spans="1:27" x14ac:dyDescent="0.3">
      <c r="A30" t="s">
        <v>38</v>
      </c>
      <c r="B30" t="s">
        <v>38</v>
      </c>
      <c r="C30"/>
      <c r="D30" t="s">
        <v>38</v>
      </c>
      <c r="E30"/>
      <c r="F30"/>
      <c r="G30">
        <v>5.05</v>
      </c>
      <c r="H30">
        <v>1</v>
      </c>
      <c r="I30">
        <v>0</v>
      </c>
      <c r="J30">
        <v>1</v>
      </c>
      <c r="K30">
        <v>1</v>
      </c>
      <c r="L30">
        <v>0</v>
      </c>
      <c r="M30">
        <v>0</v>
      </c>
      <c r="N30">
        <v>0</v>
      </c>
      <c r="O30">
        <v>0</v>
      </c>
      <c r="P30">
        <v>0</v>
      </c>
      <c r="Q30">
        <v>0</v>
      </c>
      <c r="R30">
        <v>0</v>
      </c>
      <c r="S30">
        <v>1</v>
      </c>
      <c r="T30">
        <v>0</v>
      </c>
      <c r="U30">
        <v>0</v>
      </c>
      <c r="V30">
        <v>0</v>
      </c>
      <c r="W30">
        <v>0</v>
      </c>
      <c r="X30">
        <v>1</v>
      </c>
      <c r="Y30">
        <v>3</v>
      </c>
      <c r="Z30">
        <v>2</v>
      </c>
      <c r="AA30" t="b">
        <v>0</v>
      </c>
    </row>
    <row r="31" spans="1:27" x14ac:dyDescent="0.3">
      <c r="A31" t="s">
        <v>39</v>
      </c>
      <c r="B31" t="s">
        <v>39</v>
      </c>
      <c r="C31"/>
      <c r="D31" t="s">
        <v>39</v>
      </c>
      <c r="E31"/>
      <c r="F31"/>
      <c r="G31">
        <v>3.3624999999999998</v>
      </c>
      <c r="H31">
        <v>1</v>
      </c>
      <c r="I31">
        <v>0</v>
      </c>
      <c r="J31">
        <v>1</v>
      </c>
      <c r="K31">
        <v>1</v>
      </c>
      <c r="L31">
        <v>0</v>
      </c>
      <c r="M31">
        <v>1</v>
      </c>
      <c r="N31">
        <v>1</v>
      </c>
      <c r="O31">
        <v>0</v>
      </c>
      <c r="P31">
        <v>0</v>
      </c>
      <c r="Q31">
        <v>0</v>
      </c>
      <c r="R31">
        <v>0</v>
      </c>
      <c r="S31">
        <v>0</v>
      </c>
      <c r="T31">
        <v>0</v>
      </c>
      <c r="U31">
        <v>0</v>
      </c>
      <c r="V31">
        <v>0</v>
      </c>
      <c r="W31">
        <v>0</v>
      </c>
      <c r="X31">
        <v>1</v>
      </c>
      <c r="Y31">
        <v>5</v>
      </c>
      <c r="Z31">
        <v>1</v>
      </c>
      <c r="AA31" t="b">
        <v>1</v>
      </c>
    </row>
    <row r="32" spans="1:27" x14ac:dyDescent="0.3">
      <c r="A32" t="s">
        <v>40</v>
      </c>
      <c r="B32" t="s">
        <v>40</v>
      </c>
      <c r="C32"/>
      <c r="D32" t="s">
        <v>40</v>
      </c>
      <c r="E32"/>
      <c r="F32"/>
      <c r="G32">
        <v>3.6</v>
      </c>
      <c r="H32">
        <v>1</v>
      </c>
      <c r="I32">
        <v>0</v>
      </c>
      <c r="J32">
        <v>0</v>
      </c>
      <c r="K32">
        <v>0</v>
      </c>
      <c r="L32">
        <v>1</v>
      </c>
      <c r="M32">
        <v>1</v>
      </c>
      <c r="N32">
        <v>0</v>
      </c>
      <c r="O32">
        <v>0</v>
      </c>
      <c r="P32">
        <v>1</v>
      </c>
      <c r="Q32">
        <v>0</v>
      </c>
      <c r="R32">
        <v>0</v>
      </c>
      <c r="S32">
        <v>0</v>
      </c>
      <c r="T32">
        <v>0</v>
      </c>
      <c r="U32">
        <v>0</v>
      </c>
      <c r="V32">
        <v>1</v>
      </c>
      <c r="W32">
        <v>0</v>
      </c>
      <c r="X32">
        <v>0</v>
      </c>
      <c r="Y32">
        <v>4</v>
      </c>
      <c r="Z32">
        <v>1</v>
      </c>
      <c r="AA32" t="b">
        <v>0</v>
      </c>
    </row>
    <row r="33" spans="1:27" x14ac:dyDescent="0.3">
      <c r="A33" t="s">
        <v>41</v>
      </c>
      <c r="B33" t="s">
        <v>41</v>
      </c>
      <c r="C33"/>
      <c r="D33" t="s">
        <v>41</v>
      </c>
      <c r="E33"/>
      <c r="F33"/>
      <c r="G33">
        <v>3.7241071429999999</v>
      </c>
      <c r="H33">
        <v>1</v>
      </c>
      <c r="I33">
        <v>1</v>
      </c>
      <c r="J33">
        <v>1</v>
      </c>
      <c r="K33">
        <v>1</v>
      </c>
      <c r="L33">
        <v>0</v>
      </c>
      <c r="M33">
        <v>0</v>
      </c>
      <c r="N33">
        <v>0</v>
      </c>
      <c r="O33">
        <v>0</v>
      </c>
      <c r="P33">
        <v>0</v>
      </c>
      <c r="Q33">
        <v>0</v>
      </c>
      <c r="R33">
        <v>0</v>
      </c>
      <c r="S33">
        <v>0</v>
      </c>
      <c r="T33">
        <v>0</v>
      </c>
      <c r="U33">
        <v>0</v>
      </c>
      <c r="V33">
        <v>0</v>
      </c>
      <c r="W33">
        <v>0</v>
      </c>
      <c r="X33">
        <v>1</v>
      </c>
      <c r="Y33">
        <v>4</v>
      </c>
      <c r="Z33">
        <v>1</v>
      </c>
      <c r="AA33" t="b">
        <v>0</v>
      </c>
    </row>
    <row r="34" spans="1:27" x14ac:dyDescent="0.3">
      <c r="A34" t="s">
        <v>42</v>
      </c>
      <c r="B34"/>
      <c r="C34" t="s">
        <v>364</v>
      </c>
      <c r="D34" t="s">
        <v>42</v>
      </c>
      <c r="E34"/>
      <c r="F34"/>
      <c r="G34">
        <v>4.1785714289999998</v>
      </c>
      <c r="H34">
        <v>1</v>
      </c>
      <c r="I34">
        <v>1</v>
      </c>
      <c r="J34">
        <v>1</v>
      </c>
      <c r="K34">
        <v>1</v>
      </c>
      <c r="L34">
        <v>0</v>
      </c>
      <c r="M34">
        <v>0</v>
      </c>
      <c r="N34">
        <v>1</v>
      </c>
      <c r="O34">
        <v>0</v>
      </c>
      <c r="P34">
        <v>0</v>
      </c>
      <c r="Q34">
        <v>0</v>
      </c>
      <c r="R34">
        <v>0</v>
      </c>
      <c r="S34">
        <v>0</v>
      </c>
      <c r="T34">
        <v>0</v>
      </c>
      <c r="U34">
        <v>0</v>
      </c>
      <c r="V34">
        <v>0</v>
      </c>
      <c r="W34">
        <v>1</v>
      </c>
      <c r="X34">
        <v>0</v>
      </c>
      <c r="Y34">
        <v>5</v>
      </c>
      <c r="Z34">
        <v>1</v>
      </c>
      <c r="AA34" t="b">
        <v>0</v>
      </c>
    </row>
    <row r="35" spans="1:27" x14ac:dyDescent="0.3">
      <c r="A35" t="s">
        <v>43</v>
      </c>
      <c r="B35" t="s">
        <v>43</v>
      </c>
      <c r="C35"/>
      <c r="D35" t="s">
        <v>43</v>
      </c>
      <c r="E35"/>
      <c r="F35"/>
      <c r="G35">
        <v>8.7302499999999998</v>
      </c>
      <c r="H35">
        <v>0</v>
      </c>
      <c r="I35">
        <v>0</v>
      </c>
      <c r="J35">
        <v>0</v>
      </c>
      <c r="K35">
        <v>0</v>
      </c>
      <c r="L35">
        <v>0</v>
      </c>
      <c r="M35">
        <v>1</v>
      </c>
      <c r="N35">
        <v>0</v>
      </c>
      <c r="O35">
        <v>1</v>
      </c>
      <c r="P35">
        <v>1</v>
      </c>
      <c r="Q35">
        <v>0</v>
      </c>
      <c r="R35">
        <v>0</v>
      </c>
      <c r="S35">
        <v>0</v>
      </c>
      <c r="T35">
        <v>0</v>
      </c>
      <c r="U35">
        <v>0</v>
      </c>
      <c r="V35">
        <v>0</v>
      </c>
      <c r="W35">
        <v>0</v>
      </c>
      <c r="X35">
        <v>1</v>
      </c>
      <c r="Y35">
        <v>3</v>
      </c>
      <c r="Z35">
        <v>1</v>
      </c>
      <c r="AA35" t="b">
        <v>1</v>
      </c>
    </row>
    <row r="36" spans="1:27" x14ac:dyDescent="0.3">
      <c r="A36" t="s">
        <v>44</v>
      </c>
      <c r="B36" t="s">
        <v>44</v>
      </c>
      <c r="C36"/>
      <c r="D36" t="s">
        <v>44</v>
      </c>
      <c r="E36"/>
      <c r="F36"/>
      <c r="G36">
        <v>8.6670568180000007</v>
      </c>
      <c r="H36">
        <v>1</v>
      </c>
      <c r="I36">
        <v>0</v>
      </c>
      <c r="J36">
        <v>0</v>
      </c>
      <c r="K36">
        <v>0</v>
      </c>
      <c r="L36">
        <v>0</v>
      </c>
      <c r="M36">
        <v>0</v>
      </c>
      <c r="N36">
        <v>1</v>
      </c>
      <c r="O36">
        <v>0</v>
      </c>
      <c r="P36">
        <v>0</v>
      </c>
      <c r="Q36">
        <v>0</v>
      </c>
      <c r="R36">
        <v>0</v>
      </c>
      <c r="S36">
        <v>0</v>
      </c>
      <c r="T36">
        <v>0</v>
      </c>
      <c r="U36">
        <v>0</v>
      </c>
      <c r="V36">
        <v>1</v>
      </c>
      <c r="W36">
        <v>1</v>
      </c>
      <c r="X36">
        <v>0</v>
      </c>
      <c r="Y36">
        <v>2</v>
      </c>
      <c r="Z36">
        <v>2</v>
      </c>
      <c r="AA36" t="b">
        <v>1</v>
      </c>
    </row>
    <row r="37" spans="1:27" x14ac:dyDescent="0.3">
      <c r="A37" t="s">
        <v>45</v>
      </c>
      <c r="B37" t="s">
        <v>365</v>
      </c>
      <c r="C37"/>
      <c r="D37" t="s">
        <v>45</v>
      </c>
      <c r="E37"/>
      <c r="F37"/>
      <c r="G37">
        <v>4.09</v>
      </c>
      <c r="H37">
        <v>1</v>
      </c>
      <c r="I37">
        <v>0</v>
      </c>
      <c r="J37">
        <v>1</v>
      </c>
      <c r="K37">
        <v>1</v>
      </c>
      <c r="L37">
        <v>1</v>
      </c>
      <c r="M37">
        <v>1</v>
      </c>
      <c r="N37">
        <v>0</v>
      </c>
      <c r="O37">
        <v>0</v>
      </c>
      <c r="P37">
        <v>0</v>
      </c>
      <c r="Q37">
        <v>0</v>
      </c>
      <c r="R37">
        <v>1</v>
      </c>
      <c r="S37">
        <v>0</v>
      </c>
      <c r="T37">
        <v>0</v>
      </c>
      <c r="U37">
        <v>0</v>
      </c>
      <c r="V37">
        <v>0</v>
      </c>
      <c r="W37">
        <v>0</v>
      </c>
      <c r="X37">
        <v>1</v>
      </c>
      <c r="Y37">
        <v>6</v>
      </c>
      <c r="Z37">
        <v>1</v>
      </c>
      <c r="AA37" t="b">
        <v>0</v>
      </c>
    </row>
    <row r="38" spans="1:27" x14ac:dyDescent="0.3">
      <c r="A38" t="s">
        <v>46</v>
      </c>
      <c r="B38" t="s">
        <v>366</v>
      </c>
      <c r="C38"/>
      <c r="D38" t="s">
        <v>46</v>
      </c>
      <c r="E38"/>
      <c r="F38"/>
      <c r="G38">
        <v>3.5</v>
      </c>
      <c r="H38">
        <v>1</v>
      </c>
      <c r="I38">
        <v>0</v>
      </c>
      <c r="J38">
        <v>1</v>
      </c>
      <c r="K38">
        <v>1</v>
      </c>
      <c r="L38">
        <v>0</v>
      </c>
      <c r="M38">
        <v>1</v>
      </c>
      <c r="N38">
        <v>1</v>
      </c>
      <c r="O38">
        <v>0</v>
      </c>
      <c r="P38">
        <v>0</v>
      </c>
      <c r="Q38">
        <v>0</v>
      </c>
      <c r="R38">
        <v>1</v>
      </c>
      <c r="S38">
        <v>0</v>
      </c>
      <c r="T38">
        <v>0</v>
      </c>
      <c r="U38">
        <v>0</v>
      </c>
      <c r="V38">
        <v>0</v>
      </c>
      <c r="W38">
        <v>1</v>
      </c>
      <c r="X38">
        <v>1</v>
      </c>
      <c r="Y38">
        <v>6</v>
      </c>
      <c r="Z38">
        <v>2</v>
      </c>
      <c r="AA38" t="b">
        <v>0</v>
      </c>
    </row>
    <row r="39" spans="1:27" x14ac:dyDescent="0.3">
      <c r="A39" t="s">
        <v>47</v>
      </c>
      <c r="B39" t="s">
        <v>47</v>
      </c>
      <c r="C39"/>
      <c r="D39" t="s">
        <v>47</v>
      </c>
      <c r="E39"/>
      <c r="F39"/>
      <c r="G39">
        <v>4</v>
      </c>
      <c r="H39">
        <v>1</v>
      </c>
      <c r="I39">
        <v>0</v>
      </c>
      <c r="J39">
        <v>0</v>
      </c>
      <c r="K39">
        <v>1</v>
      </c>
      <c r="L39">
        <v>0</v>
      </c>
      <c r="M39">
        <v>1</v>
      </c>
      <c r="N39">
        <v>0</v>
      </c>
      <c r="O39">
        <v>0</v>
      </c>
      <c r="P39">
        <v>0</v>
      </c>
      <c r="Q39">
        <v>0</v>
      </c>
      <c r="R39">
        <v>1</v>
      </c>
      <c r="S39">
        <v>0</v>
      </c>
      <c r="T39">
        <v>0</v>
      </c>
      <c r="U39">
        <v>0</v>
      </c>
      <c r="V39">
        <v>0</v>
      </c>
      <c r="W39">
        <v>0</v>
      </c>
      <c r="X39">
        <v>0</v>
      </c>
      <c r="Y39">
        <v>4</v>
      </c>
      <c r="Z39">
        <v>0</v>
      </c>
      <c r="AA39" t="b">
        <v>1</v>
      </c>
    </row>
    <row r="40" spans="1:27" x14ac:dyDescent="0.3">
      <c r="A40" t="s">
        <v>48</v>
      </c>
      <c r="B40" t="s">
        <v>367</v>
      </c>
      <c r="C40"/>
      <c r="D40" t="s">
        <v>48</v>
      </c>
      <c r="E40"/>
      <c r="F40"/>
      <c r="G40">
        <v>3.7825000000000002</v>
      </c>
      <c r="H40">
        <v>1</v>
      </c>
      <c r="I40">
        <v>0</v>
      </c>
      <c r="J40">
        <v>1</v>
      </c>
      <c r="K40">
        <v>1</v>
      </c>
      <c r="L40">
        <v>1</v>
      </c>
      <c r="M40">
        <v>1</v>
      </c>
      <c r="N40">
        <v>0</v>
      </c>
      <c r="O40">
        <v>0</v>
      </c>
      <c r="P40">
        <v>0</v>
      </c>
      <c r="Q40">
        <v>0</v>
      </c>
      <c r="R40">
        <v>0</v>
      </c>
      <c r="S40">
        <v>0</v>
      </c>
      <c r="T40">
        <v>0</v>
      </c>
      <c r="U40">
        <v>0</v>
      </c>
      <c r="V40">
        <v>0</v>
      </c>
      <c r="W40">
        <v>1</v>
      </c>
      <c r="X40">
        <v>1</v>
      </c>
      <c r="Y40">
        <v>5</v>
      </c>
      <c r="Z40">
        <v>2</v>
      </c>
      <c r="AA40" t="b">
        <v>0</v>
      </c>
    </row>
    <row r="41" spans="1:27" x14ac:dyDescent="0.3">
      <c r="A41" t="s">
        <v>49</v>
      </c>
      <c r="B41" t="s">
        <v>368</v>
      </c>
      <c r="C41"/>
      <c r="D41" t="s">
        <v>49</v>
      </c>
      <c r="E41"/>
      <c r="F41"/>
      <c r="G41">
        <v>3.6458333340000002</v>
      </c>
      <c r="H41">
        <v>1</v>
      </c>
      <c r="I41">
        <v>0</v>
      </c>
      <c r="J41">
        <v>1</v>
      </c>
      <c r="K41">
        <v>1</v>
      </c>
      <c r="L41">
        <v>0</v>
      </c>
      <c r="M41">
        <v>1</v>
      </c>
      <c r="N41">
        <v>0</v>
      </c>
      <c r="O41">
        <v>0</v>
      </c>
      <c r="P41">
        <v>0</v>
      </c>
      <c r="Q41">
        <v>0</v>
      </c>
      <c r="R41">
        <v>0</v>
      </c>
      <c r="S41">
        <v>0</v>
      </c>
      <c r="T41">
        <v>0</v>
      </c>
      <c r="U41">
        <v>0</v>
      </c>
      <c r="V41">
        <v>0</v>
      </c>
      <c r="W41">
        <v>0</v>
      </c>
      <c r="X41">
        <v>1</v>
      </c>
      <c r="Y41">
        <v>4</v>
      </c>
      <c r="Z41">
        <v>1</v>
      </c>
      <c r="AA41" t="b">
        <v>0</v>
      </c>
    </row>
    <row r="42" spans="1:27" x14ac:dyDescent="0.3">
      <c r="A42" t="s">
        <v>50</v>
      </c>
      <c r="B42" t="s">
        <v>369</v>
      </c>
      <c r="C42"/>
      <c r="D42" t="s">
        <v>50</v>
      </c>
      <c r="E42"/>
      <c r="F42"/>
      <c r="G42">
        <v>4.2125000000000004</v>
      </c>
      <c r="H42">
        <v>1</v>
      </c>
      <c r="I42">
        <v>0</v>
      </c>
      <c r="J42">
        <v>1</v>
      </c>
      <c r="K42">
        <v>1</v>
      </c>
      <c r="L42">
        <v>0</v>
      </c>
      <c r="M42">
        <v>1</v>
      </c>
      <c r="N42">
        <v>0</v>
      </c>
      <c r="O42">
        <v>0</v>
      </c>
      <c r="P42">
        <v>0</v>
      </c>
      <c r="Q42">
        <v>0</v>
      </c>
      <c r="R42">
        <v>0</v>
      </c>
      <c r="S42">
        <v>0</v>
      </c>
      <c r="T42">
        <v>0</v>
      </c>
      <c r="U42">
        <v>0</v>
      </c>
      <c r="V42">
        <v>0</v>
      </c>
      <c r="W42">
        <v>0</v>
      </c>
      <c r="X42">
        <v>0</v>
      </c>
      <c r="Y42">
        <v>4</v>
      </c>
      <c r="Z42">
        <v>0</v>
      </c>
      <c r="AA42" t="b">
        <v>0</v>
      </c>
    </row>
    <row r="43" spans="1:27" x14ac:dyDescent="0.3">
      <c r="A43" t="s">
        <v>51</v>
      </c>
      <c r="B43"/>
      <c r="C43" t="s">
        <v>370</v>
      </c>
      <c r="D43" t="s">
        <v>51</v>
      </c>
      <c r="E43"/>
      <c r="F43"/>
      <c r="G43">
        <v>4.99</v>
      </c>
      <c r="H43">
        <v>1</v>
      </c>
      <c r="I43">
        <v>0</v>
      </c>
      <c r="J43">
        <v>0</v>
      </c>
      <c r="K43">
        <v>0</v>
      </c>
      <c r="L43">
        <v>0</v>
      </c>
      <c r="M43">
        <v>1</v>
      </c>
      <c r="N43">
        <v>0</v>
      </c>
      <c r="O43">
        <v>0</v>
      </c>
      <c r="P43">
        <v>0</v>
      </c>
      <c r="Q43">
        <v>0</v>
      </c>
      <c r="R43">
        <v>0</v>
      </c>
      <c r="S43">
        <v>0</v>
      </c>
      <c r="T43">
        <v>0</v>
      </c>
      <c r="U43">
        <v>0</v>
      </c>
      <c r="V43">
        <v>0</v>
      </c>
      <c r="W43">
        <v>0</v>
      </c>
      <c r="X43">
        <v>1</v>
      </c>
      <c r="Y43">
        <v>2</v>
      </c>
      <c r="Z43">
        <v>1</v>
      </c>
      <c r="AA43" t="b">
        <v>1</v>
      </c>
    </row>
    <row r="44" spans="1:27" x14ac:dyDescent="0.3">
      <c r="A44" t="s">
        <v>52</v>
      </c>
      <c r="B44" t="s">
        <v>52</v>
      </c>
      <c r="C44"/>
      <c r="D44" t="s">
        <v>52</v>
      </c>
      <c r="E44"/>
      <c r="F44" t="s">
        <v>457</v>
      </c>
      <c r="G44">
        <v>1.7</v>
      </c>
      <c r="H44">
        <v>1</v>
      </c>
      <c r="I44">
        <v>0</v>
      </c>
      <c r="J44">
        <v>1</v>
      </c>
      <c r="K44">
        <v>1</v>
      </c>
      <c r="L44">
        <v>0</v>
      </c>
      <c r="M44">
        <v>0</v>
      </c>
      <c r="N44">
        <v>0</v>
      </c>
      <c r="O44">
        <v>0</v>
      </c>
      <c r="P44">
        <v>1</v>
      </c>
      <c r="Q44">
        <v>0</v>
      </c>
      <c r="R44">
        <v>0</v>
      </c>
      <c r="S44">
        <v>0</v>
      </c>
      <c r="T44">
        <v>0</v>
      </c>
      <c r="U44">
        <v>0</v>
      </c>
      <c r="V44">
        <v>0</v>
      </c>
      <c r="W44">
        <v>0</v>
      </c>
      <c r="X44">
        <v>1</v>
      </c>
      <c r="Y44">
        <v>4</v>
      </c>
      <c r="Z44">
        <v>1</v>
      </c>
      <c r="AA44" t="b">
        <v>1</v>
      </c>
    </row>
    <row r="45" spans="1:27" s="2" customFormat="1" x14ac:dyDescent="0.3">
      <c r="A45" s="3"/>
      <c r="B45" s="3" t="s">
        <v>467</v>
      </c>
      <c r="C45" s="3"/>
      <c r="D45" s="3" t="s">
        <v>464</v>
      </c>
      <c r="E45" s="3" t="s">
        <v>465</v>
      </c>
      <c r="F45" s="3"/>
      <c r="G45" s="3">
        <v>2.6835</v>
      </c>
      <c r="H45" s="3"/>
      <c r="I45" s="3"/>
      <c r="J45" s="3"/>
      <c r="K45" s="3"/>
      <c r="L45" s="3"/>
      <c r="M45" s="3"/>
      <c r="N45" s="3"/>
      <c r="O45" s="3"/>
      <c r="P45" s="3"/>
      <c r="Q45" s="3"/>
      <c r="R45" s="3"/>
      <c r="S45" s="3">
        <v>0</v>
      </c>
      <c r="T45" s="3">
        <v>0</v>
      </c>
      <c r="U45" s="3">
        <v>0</v>
      </c>
      <c r="V45" s="3">
        <v>0</v>
      </c>
      <c r="W45" s="3">
        <v>0</v>
      </c>
      <c r="X45" s="3">
        <v>1</v>
      </c>
      <c r="Y45" s="3"/>
      <c r="Z45" s="3">
        <v>1</v>
      </c>
      <c r="AA45" s="3" t="b">
        <v>0</v>
      </c>
    </row>
    <row r="46" spans="1:27" x14ac:dyDescent="0.3">
      <c r="A46" t="s">
        <v>297</v>
      </c>
      <c r="B46" t="s">
        <v>371</v>
      </c>
      <c r="C46"/>
      <c r="D46" t="s">
        <v>297</v>
      </c>
      <c r="E46" t="s">
        <v>297</v>
      </c>
      <c r="F46"/>
      <c r="G46">
        <v>3.1791499999999999</v>
      </c>
      <c r="H46">
        <v>0</v>
      </c>
      <c r="I46">
        <v>1</v>
      </c>
      <c r="J46">
        <v>1</v>
      </c>
      <c r="K46">
        <v>1</v>
      </c>
      <c r="L46">
        <v>0</v>
      </c>
      <c r="M46">
        <v>0</v>
      </c>
      <c r="N46">
        <v>0</v>
      </c>
      <c r="O46">
        <v>0</v>
      </c>
      <c r="P46">
        <v>0</v>
      </c>
      <c r="Q46">
        <v>0</v>
      </c>
      <c r="R46">
        <v>0</v>
      </c>
      <c r="S46">
        <v>0</v>
      </c>
      <c r="T46">
        <v>0</v>
      </c>
      <c r="U46">
        <v>0</v>
      </c>
      <c r="V46">
        <v>0</v>
      </c>
      <c r="W46">
        <v>0</v>
      </c>
      <c r="X46">
        <v>1</v>
      </c>
      <c r="Y46">
        <v>3</v>
      </c>
      <c r="Z46">
        <v>1</v>
      </c>
      <c r="AA46" t="b">
        <v>0</v>
      </c>
    </row>
    <row r="47" spans="1:27" x14ac:dyDescent="0.3">
      <c r="A47" t="s">
        <v>53</v>
      </c>
      <c r="B47" t="s">
        <v>53</v>
      </c>
      <c r="C47"/>
      <c r="D47" t="s">
        <v>53</v>
      </c>
      <c r="E47"/>
      <c r="F47"/>
      <c r="G47">
        <v>2.2000000000000002</v>
      </c>
      <c r="H47">
        <v>0</v>
      </c>
      <c r="I47">
        <v>0</v>
      </c>
      <c r="J47">
        <v>0</v>
      </c>
      <c r="K47">
        <v>1</v>
      </c>
      <c r="L47">
        <v>1</v>
      </c>
      <c r="M47">
        <v>0</v>
      </c>
      <c r="N47">
        <v>0</v>
      </c>
      <c r="O47">
        <v>0</v>
      </c>
      <c r="P47">
        <v>0</v>
      </c>
      <c r="Q47">
        <v>0</v>
      </c>
      <c r="R47">
        <v>0</v>
      </c>
      <c r="S47">
        <v>0</v>
      </c>
      <c r="T47">
        <v>0</v>
      </c>
      <c r="U47">
        <v>1</v>
      </c>
      <c r="V47">
        <v>0</v>
      </c>
      <c r="W47">
        <v>1</v>
      </c>
      <c r="X47">
        <v>0</v>
      </c>
      <c r="Y47">
        <v>2</v>
      </c>
      <c r="Z47">
        <v>2</v>
      </c>
      <c r="AA47" t="b">
        <v>0</v>
      </c>
    </row>
    <row r="48" spans="1:27" x14ac:dyDescent="0.3">
      <c r="A48" t="s">
        <v>54</v>
      </c>
      <c r="B48" t="s">
        <v>54</v>
      </c>
      <c r="C48"/>
      <c r="D48" t="s">
        <v>321</v>
      </c>
      <c r="E48"/>
      <c r="F48"/>
      <c r="G48" t="s">
        <v>321</v>
      </c>
      <c r="H48">
        <v>0</v>
      </c>
      <c r="I48">
        <v>0</v>
      </c>
      <c r="J48">
        <v>0</v>
      </c>
      <c r="K48">
        <v>1</v>
      </c>
      <c r="L48">
        <v>1</v>
      </c>
      <c r="M48">
        <v>0</v>
      </c>
      <c r="N48">
        <v>0</v>
      </c>
      <c r="O48">
        <v>0</v>
      </c>
      <c r="P48">
        <v>0</v>
      </c>
      <c r="Q48">
        <v>0</v>
      </c>
      <c r="R48">
        <v>0</v>
      </c>
      <c r="S48">
        <v>0</v>
      </c>
      <c r="T48">
        <v>0</v>
      </c>
      <c r="U48">
        <v>1</v>
      </c>
      <c r="V48">
        <v>0</v>
      </c>
      <c r="W48">
        <v>1</v>
      </c>
      <c r="X48">
        <v>0</v>
      </c>
      <c r="Y48">
        <v>2</v>
      </c>
      <c r="Z48">
        <v>2</v>
      </c>
      <c r="AA48" t="b">
        <v>0</v>
      </c>
    </row>
    <row r="49" spans="1:27" x14ac:dyDescent="0.3">
      <c r="A49" t="s">
        <v>55</v>
      </c>
      <c r="B49" t="s">
        <v>55</v>
      </c>
      <c r="C49"/>
      <c r="D49" t="s">
        <v>55</v>
      </c>
      <c r="E49"/>
      <c r="F49"/>
      <c r="G49">
        <v>1.875</v>
      </c>
      <c r="H49">
        <v>0</v>
      </c>
      <c r="I49">
        <v>0</v>
      </c>
      <c r="J49">
        <v>0</v>
      </c>
      <c r="K49">
        <v>0</v>
      </c>
      <c r="L49">
        <v>1</v>
      </c>
      <c r="M49">
        <v>1</v>
      </c>
      <c r="N49">
        <v>0</v>
      </c>
      <c r="O49">
        <v>0</v>
      </c>
      <c r="P49">
        <v>0</v>
      </c>
      <c r="Q49">
        <v>0</v>
      </c>
      <c r="R49">
        <v>0</v>
      </c>
      <c r="S49">
        <v>0</v>
      </c>
      <c r="T49">
        <v>0</v>
      </c>
      <c r="U49">
        <v>1</v>
      </c>
      <c r="V49">
        <v>0</v>
      </c>
      <c r="W49">
        <v>0</v>
      </c>
      <c r="X49">
        <v>0</v>
      </c>
      <c r="Y49">
        <v>2</v>
      </c>
      <c r="Z49">
        <v>1</v>
      </c>
      <c r="AA49" t="b">
        <v>0</v>
      </c>
    </row>
    <row r="50" spans="1:27" x14ac:dyDescent="0.3">
      <c r="A50" t="s">
        <v>298</v>
      </c>
      <c r="B50" t="s">
        <v>372</v>
      </c>
      <c r="C50" t="s">
        <v>373</v>
      </c>
      <c r="D50" t="s">
        <v>298</v>
      </c>
      <c r="E50" t="s">
        <v>298</v>
      </c>
      <c r="F50"/>
      <c r="G50">
        <v>2.4166500000000002</v>
      </c>
      <c r="H50">
        <v>1</v>
      </c>
      <c r="I50">
        <v>1</v>
      </c>
      <c r="J50">
        <v>0</v>
      </c>
      <c r="K50">
        <v>0</v>
      </c>
      <c r="L50">
        <v>0</v>
      </c>
      <c r="M50">
        <v>0</v>
      </c>
      <c r="N50">
        <v>0</v>
      </c>
      <c r="O50">
        <v>0</v>
      </c>
      <c r="P50">
        <v>1</v>
      </c>
      <c r="Q50">
        <v>0</v>
      </c>
      <c r="R50">
        <v>0</v>
      </c>
      <c r="S50">
        <v>0</v>
      </c>
      <c r="T50">
        <v>0</v>
      </c>
      <c r="U50">
        <v>0</v>
      </c>
      <c r="V50">
        <v>1</v>
      </c>
      <c r="W50">
        <v>0</v>
      </c>
      <c r="X50">
        <v>1</v>
      </c>
      <c r="Y50">
        <v>3</v>
      </c>
      <c r="Z50">
        <v>2</v>
      </c>
      <c r="AA50" t="b">
        <v>0</v>
      </c>
    </row>
    <row r="51" spans="1:27" s="2" customFormat="1" x14ac:dyDescent="0.3">
      <c r="A51" s="3" t="s">
        <v>324</v>
      </c>
      <c r="B51" s="3" t="s">
        <v>500</v>
      </c>
      <c r="C51" s="3" t="s">
        <v>374</v>
      </c>
      <c r="D51" s="3" t="s">
        <v>324</v>
      </c>
      <c r="E51" s="3" t="s">
        <v>324</v>
      </c>
      <c r="F51" s="3"/>
      <c r="G51" s="3">
        <v>2.46665</v>
      </c>
      <c r="H51" s="3">
        <v>0</v>
      </c>
      <c r="I51" s="3">
        <v>1</v>
      </c>
      <c r="J51" s="3">
        <v>0</v>
      </c>
      <c r="K51" s="3">
        <v>1</v>
      </c>
      <c r="L51" s="3">
        <v>1</v>
      </c>
      <c r="M51" s="3">
        <v>0</v>
      </c>
      <c r="N51" s="3">
        <v>0</v>
      </c>
      <c r="O51" s="3">
        <v>0</v>
      </c>
      <c r="P51" s="3">
        <v>0</v>
      </c>
      <c r="Q51" s="3">
        <v>0</v>
      </c>
      <c r="R51" s="3">
        <v>0</v>
      </c>
      <c r="S51" s="3">
        <v>0</v>
      </c>
      <c r="T51" s="3">
        <v>0</v>
      </c>
      <c r="U51" s="3">
        <v>0</v>
      </c>
      <c r="V51" s="3">
        <v>0</v>
      </c>
      <c r="W51" s="3">
        <v>0</v>
      </c>
      <c r="X51" s="3">
        <v>0</v>
      </c>
      <c r="Y51" s="3">
        <v>3</v>
      </c>
      <c r="Z51" s="3">
        <v>0</v>
      </c>
      <c r="AA51" s="3" t="b">
        <v>0</v>
      </c>
    </row>
    <row r="52" spans="1:27" s="2" customFormat="1" x14ac:dyDescent="0.3">
      <c r="A52" s="3" t="s">
        <v>324</v>
      </c>
      <c r="B52" s="3" t="s">
        <v>498</v>
      </c>
      <c r="C52" s="3" t="s">
        <v>374</v>
      </c>
      <c r="D52" s="3" t="s">
        <v>324</v>
      </c>
      <c r="E52" s="3" t="s">
        <v>324</v>
      </c>
      <c r="F52" s="3"/>
      <c r="G52" s="3">
        <v>2.46665</v>
      </c>
      <c r="H52" s="3">
        <v>0</v>
      </c>
      <c r="I52" s="3">
        <v>1</v>
      </c>
      <c r="J52" s="3">
        <v>0</v>
      </c>
      <c r="K52" s="3">
        <v>1</v>
      </c>
      <c r="L52" s="3">
        <v>1</v>
      </c>
      <c r="M52" s="3">
        <v>0</v>
      </c>
      <c r="N52" s="3">
        <v>0</v>
      </c>
      <c r="O52" s="3">
        <v>0</v>
      </c>
      <c r="P52" s="3">
        <v>0</v>
      </c>
      <c r="Q52" s="3">
        <v>0</v>
      </c>
      <c r="R52" s="3">
        <v>0</v>
      </c>
      <c r="S52" s="3">
        <v>0</v>
      </c>
      <c r="T52" s="3">
        <v>0</v>
      </c>
      <c r="U52" s="3">
        <v>0</v>
      </c>
      <c r="V52" s="3">
        <v>0</v>
      </c>
      <c r="W52" s="3">
        <v>0</v>
      </c>
      <c r="X52" s="3">
        <v>0</v>
      </c>
      <c r="Y52" s="3">
        <v>3</v>
      </c>
      <c r="Z52" s="3">
        <v>0</v>
      </c>
      <c r="AA52" s="3" t="b">
        <v>0</v>
      </c>
    </row>
    <row r="53" spans="1:27" s="2" customFormat="1" x14ac:dyDescent="0.3">
      <c r="A53" s="3" t="s">
        <v>324</v>
      </c>
      <c r="B53" s="3" t="s">
        <v>468</v>
      </c>
      <c r="C53" s="3" t="s">
        <v>374</v>
      </c>
      <c r="D53" s="3" t="s">
        <v>324</v>
      </c>
      <c r="E53" s="3" t="s">
        <v>324</v>
      </c>
      <c r="F53" s="3"/>
      <c r="G53" s="3">
        <v>2.46665</v>
      </c>
      <c r="H53" s="3">
        <v>0</v>
      </c>
      <c r="I53" s="3">
        <v>1</v>
      </c>
      <c r="J53" s="3">
        <v>0</v>
      </c>
      <c r="K53" s="3">
        <v>1</v>
      </c>
      <c r="L53" s="3">
        <v>1</v>
      </c>
      <c r="M53" s="3">
        <v>0</v>
      </c>
      <c r="N53" s="3">
        <v>0</v>
      </c>
      <c r="O53" s="3">
        <v>0</v>
      </c>
      <c r="P53" s="3">
        <v>0</v>
      </c>
      <c r="Q53" s="3">
        <v>0</v>
      </c>
      <c r="R53" s="3">
        <v>0</v>
      </c>
      <c r="S53" s="3">
        <v>0</v>
      </c>
      <c r="T53" s="3">
        <v>0</v>
      </c>
      <c r="U53" s="3">
        <v>0</v>
      </c>
      <c r="V53" s="3">
        <v>0</v>
      </c>
      <c r="W53" s="3">
        <v>0</v>
      </c>
      <c r="X53" s="3">
        <v>0</v>
      </c>
      <c r="Y53" s="3">
        <v>3</v>
      </c>
      <c r="Z53" s="3">
        <v>0</v>
      </c>
      <c r="AA53" s="3" t="b">
        <v>0</v>
      </c>
    </row>
    <row r="54" spans="1:27" x14ac:dyDescent="0.3">
      <c r="A54" t="s">
        <v>325</v>
      </c>
      <c r="B54" t="s">
        <v>375</v>
      </c>
      <c r="C54"/>
      <c r="D54" t="s">
        <v>325</v>
      </c>
      <c r="E54" t="s">
        <v>325</v>
      </c>
      <c r="F54"/>
      <c r="G54">
        <v>2.7625999999999999</v>
      </c>
      <c r="H54">
        <v>0</v>
      </c>
      <c r="I54">
        <v>0</v>
      </c>
      <c r="J54">
        <v>0</v>
      </c>
      <c r="K54">
        <v>1</v>
      </c>
      <c r="L54">
        <v>1</v>
      </c>
      <c r="M54">
        <v>0</v>
      </c>
      <c r="N54">
        <v>0</v>
      </c>
      <c r="O54">
        <v>0</v>
      </c>
      <c r="P54">
        <v>0</v>
      </c>
      <c r="Q54">
        <v>0</v>
      </c>
      <c r="R54">
        <v>0</v>
      </c>
      <c r="S54">
        <v>0</v>
      </c>
      <c r="T54">
        <v>0</v>
      </c>
      <c r="U54">
        <v>0</v>
      </c>
      <c r="V54">
        <v>0</v>
      </c>
      <c r="W54">
        <v>1</v>
      </c>
      <c r="X54">
        <v>0</v>
      </c>
      <c r="Y54">
        <v>2</v>
      </c>
      <c r="Z54">
        <v>1</v>
      </c>
      <c r="AA54" t="b">
        <v>0</v>
      </c>
    </row>
    <row r="55" spans="1:27" s="2" customFormat="1" x14ac:dyDescent="0.3">
      <c r="A55" s="3"/>
      <c r="B55" s="3" t="s">
        <v>466</v>
      </c>
      <c r="C55" s="3"/>
      <c r="D55" s="3" t="s">
        <v>466</v>
      </c>
      <c r="E55" s="3" t="s">
        <v>466</v>
      </c>
      <c r="F55" s="3"/>
      <c r="G55" s="3">
        <v>2.5985</v>
      </c>
      <c r="H55" s="3"/>
      <c r="I55" s="3"/>
      <c r="J55" s="3"/>
      <c r="K55" s="3"/>
      <c r="L55" s="3"/>
      <c r="M55" s="3"/>
      <c r="N55" s="3"/>
      <c r="O55" s="3"/>
      <c r="P55" s="3"/>
      <c r="Q55" s="3"/>
      <c r="R55" s="3"/>
      <c r="S55" s="3">
        <v>0</v>
      </c>
      <c r="T55" s="3">
        <v>0</v>
      </c>
      <c r="U55" s="3">
        <v>0</v>
      </c>
      <c r="V55" s="3">
        <v>0</v>
      </c>
      <c r="W55" s="3">
        <v>0</v>
      </c>
      <c r="X55" s="3">
        <v>0</v>
      </c>
      <c r="Y55" s="3"/>
      <c r="Z55" s="3">
        <v>0</v>
      </c>
      <c r="AA55" s="3" t="b">
        <v>0</v>
      </c>
    </row>
    <row r="56" spans="1:27" s="2" customFormat="1" x14ac:dyDescent="0.3">
      <c r="A56" s="3"/>
      <c r="B56" s="3" t="s">
        <v>490</v>
      </c>
      <c r="C56" s="3"/>
      <c r="D56" s="3" t="s">
        <v>466</v>
      </c>
      <c r="E56" s="3" t="s">
        <v>466</v>
      </c>
      <c r="F56" s="3"/>
      <c r="G56" s="3">
        <v>2.5985</v>
      </c>
      <c r="H56" s="3"/>
      <c r="I56" s="3"/>
      <c r="J56" s="3"/>
      <c r="K56" s="3"/>
      <c r="L56" s="3"/>
      <c r="M56" s="3"/>
      <c r="N56" s="3"/>
      <c r="O56" s="3"/>
      <c r="P56" s="3"/>
      <c r="Q56" s="3"/>
      <c r="R56" s="3"/>
      <c r="S56" s="3">
        <v>0</v>
      </c>
      <c r="T56" s="3">
        <v>0</v>
      </c>
      <c r="U56" s="3">
        <v>0</v>
      </c>
      <c r="V56" s="3">
        <v>0</v>
      </c>
      <c r="W56" s="3">
        <v>0</v>
      </c>
      <c r="X56" s="3">
        <v>0</v>
      </c>
      <c r="Y56" s="3"/>
      <c r="Z56" s="3">
        <v>0</v>
      </c>
      <c r="AA56" s="3" t="b">
        <v>0</v>
      </c>
    </row>
    <row r="57" spans="1:27" x14ac:dyDescent="0.3">
      <c r="A57" t="s">
        <v>326</v>
      </c>
      <c r="B57" t="s">
        <v>376</v>
      </c>
      <c r="C57"/>
      <c r="D57" t="s">
        <v>326</v>
      </c>
      <c r="E57" t="s">
        <v>326</v>
      </c>
      <c r="F57"/>
      <c r="G57">
        <v>2.56331</v>
      </c>
      <c r="H57">
        <v>1</v>
      </c>
      <c r="I57">
        <v>0</v>
      </c>
      <c r="J57">
        <v>0</v>
      </c>
      <c r="K57">
        <v>1</v>
      </c>
      <c r="L57">
        <v>1</v>
      </c>
      <c r="M57">
        <v>0</v>
      </c>
      <c r="N57">
        <v>0</v>
      </c>
      <c r="O57">
        <v>1</v>
      </c>
      <c r="P57">
        <v>0</v>
      </c>
      <c r="Q57">
        <v>0</v>
      </c>
      <c r="R57">
        <v>0</v>
      </c>
      <c r="S57">
        <v>0</v>
      </c>
      <c r="T57">
        <v>0</v>
      </c>
      <c r="U57">
        <v>0</v>
      </c>
      <c r="V57">
        <v>0</v>
      </c>
      <c r="W57">
        <v>0</v>
      </c>
      <c r="X57">
        <v>1</v>
      </c>
      <c r="Y57">
        <v>4</v>
      </c>
      <c r="Z57">
        <v>1</v>
      </c>
      <c r="AA57" t="b">
        <v>0</v>
      </c>
    </row>
    <row r="58" spans="1:27" x14ac:dyDescent="0.3">
      <c r="A58" t="s">
        <v>327</v>
      </c>
      <c r="B58" t="s">
        <v>377</v>
      </c>
      <c r="C58"/>
      <c r="D58" t="s">
        <v>327</v>
      </c>
      <c r="E58" t="s">
        <v>347</v>
      </c>
      <c r="F58"/>
      <c r="G58">
        <v>2.5249999999999999</v>
      </c>
      <c r="H58">
        <v>0</v>
      </c>
      <c r="I58">
        <v>0</v>
      </c>
      <c r="J58">
        <v>1</v>
      </c>
      <c r="K58">
        <v>1</v>
      </c>
      <c r="L58">
        <v>0</v>
      </c>
      <c r="M58">
        <v>1</v>
      </c>
      <c r="N58">
        <v>0</v>
      </c>
      <c r="O58">
        <v>0</v>
      </c>
      <c r="P58">
        <v>0</v>
      </c>
      <c r="Q58">
        <v>0</v>
      </c>
      <c r="R58">
        <v>0</v>
      </c>
      <c r="S58">
        <v>0</v>
      </c>
      <c r="T58">
        <v>0</v>
      </c>
      <c r="U58">
        <v>0</v>
      </c>
      <c r="V58">
        <v>1</v>
      </c>
      <c r="W58">
        <v>0</v>
      </c>
      <c r="X58">
        <v>1</v>
      </c>
      <c r="Y58">
        <v>3</v>
      </c>
      <c r="Z58">
        <v>2</v>
      </c>
      <c r="AA58" t="b">
        <v>0</v>
      </c>
    </row>
    <row r="59" spans="1:27" x14ac:dyDescent="0.3">
      <c r="A59" t="s">
        <v>328</v>
      </c>
      <c r="B59" t="s">
        <v>378</v>
      </c>
      <c r="C59"/>
      <c r="D59" t="s">
        <v>328</v>
      </c>
      <c r="E59" t="s">
        <v>328</v>
      </c>
      <c r="F59"/>
      <c r="G59">
        <v>2.5499999999999998</v>
      </c>
      <c r="H59">
        <v>0</v>
      </c>
      <c r="I59">
        <v>0</v>
      </c>
      <c r="J59">
        <v>0</v>
      </c>
      <c r="K59">
        <v>1</v>
      </c>
      <c r="L59">
        <v>0</v>
      </c>
      <c r="M59">
        <v>0</v>
      </c>
      <c r="N59">
        <v>0</v>
      </c>
      <c r="O59">
        <v>0</v>
      </c>
      <c r="P59">
        <v>0</v>
      </c>
      <c r="Q59">
        <v>0</v>
      </c>
      <c r="R59">
        <v>0</v>
      </c>
      <c r="S59">
        <v>0</v>
      </c>
      <c r="T59">
        <v>0</v>
      </c>
      <c r="U59">
        <v>0</v>
      </c>
      <c r="V59">
        <v>1</v>
      </c>
      <c r="W59">
        <v>0</v>
      </c>
      <c r="X59">
        <v>1</v>
      </c>
      <c r="Y59">
        <v>1</v>
      </c>
      <c r="Z59">
        <v>2</v>
      </c>
      <c r="AA59" t="b">
        <v>0</v>
      </c>
    </row>
    <row r="60" spans="1:27" x14ac:dyDescent="0.3">
      <c r="A60" t="s">
        <v>329</v>
      </c>
      <c r="B60" t="s">
        <v>379</v>
      </c>
      <c r="C60"/>
      <c r="D60" t="s">
        <v>329</v>
      </c>
      <c r="E60" t="s">
        <v>329</v>
      </c>
      <c r="F60"/>
      <c r="G60">
        <v>2.0249999999999999</v>
      </c>
      <c r="H60">
        <v>0</v>
      </c>
      <c r="I60">
        <v>1</v>
      </c>
      <c r="J60">
        <v>0</v>
      </c>
      <c r="K60">
        <v>1</v>
      </c>
      <c r="L60">
        <v>0</v>
      </c>
      <c r="M60">
        <v>1</v>
      </c>
      <c r="N60">
        <v>0</v>
      </c>
      <c r="O60">
        <v>0</v>
      </c>
      <c r="P60">
        <v>0</v>
      </c>
      <c r="Q60">
        <v>0</v>
      </c>
      <c r="R60">
        <v>0</v>
      </c>
      <c r="S60">
        <v>0</v>
      </c>
      <c r="T60">
        <v>0</v>
      </c>
      <c r="U60">
        <v>0</v>
      </c>
      <c r="V60">
        <v>0</v>
      </c>
      <c r="W60">
        <v>0</v>
      </c>
      <c r="X60">
        <v>0</v>
      </c>
      <c r="Y60">
        <v>3</v>
      </c>
      <c r="Z60">
        <v>0</v>
      </c>
      <c r="AA60" t="b">
        <v>0</v>
      </c>
    </row>
    <row r="61" spans="1:27" x14ac:dyDescent="0.3">
      <c r="A61" t="s">
        <v>56</v>
      </c>
      <c r="B61" t="s">
        <v>380</v>
      </c>
      <c r="C61"/>
      <c r="D61" t="s">
        <v>56</v>
      </c>
      <c r="E61"/>
      <c r="F61"/>
      <c r="G61">
        <v>2.7124999999999999</v>
      </c>
      <c r="H61">
        <v>1</v>
      </c>
      <c r="I61">
        <v>1</v>
      </c>
      <c r="J61">
        <v>0</v>
      </c>
      <c r="K61">
        <v>1</v>
      </c>
      <c r="L61">
        <v>0</v>
      </c>
      <c r="M61">
        <v>0</v>
      </c>
      <c r="N61">
        <v>0</v>
      </c>
      <c r="O61">
        <v>0</v>
      </c>
      <c r="P61">
        <v>0</v>
      </c>
      <c r="Q61">
        <v>0</v>
      </c>
      <c r="R61">
        <v>0</v>
      </c>
      <c r="S61">
        <v>0</v>
      </c>
      <c r="T61">
        <v>0</v>
      </c>
      <c r="U61">
        <v>0</v>
      </c>
      <c r="V61">
        <v>1</v>
      </c>
      <c r="W61">
        <v>1</v>
      </c>
      <c r="X61">
        <v>0</v>
      </c>
      <c r="Y61">
        <v>3</v>
      </c>
      <c r="Z61">
        <v>2</v>
      </c>
      <c r="AA61" t="b">
        <v>0</v>
      </c>
    </row>
    <row r="62" spans="1:27" x14ac:dyDescent="0.3">
      <c r="A62" t="s">
        <v>57</v>
      </c>
      <c r="B62" t="s">
        <v>57</v>
      </c>
      <c r="C62"/>
      <c r="D62" t="s">
        <v>57</v>
      </c>
      <c r="E62"/>
      <c r="F62"/>
      <c r="G62">
        <v>2.35</v>
      </c>
      <c r="H62">
        <v>0</v>
      </c>
      <c r="I62">
        <v>1</v>
      </c>
      <c r="J62">
        <v>1</v>
      </c>
      <c r="K62">
        <v>1</v>
      </c>
      <c r="L62">
        <v>0</v>
      </c>
      <c r="M62">
        <v>0</v>
      </c>
      <c r="N62">
        <v>0</v>
      </c>
      <c r="O62">
        <v>0</v>
      </c>
      <c r="P62">
        <v>0</v>
      </c>
      <c r="Q62">
        <v>0</v>
      </c>
      <c r="R62">
        <v>0</v>
      </c>
      <c r="S62">
        <v>0</v>
      </c>
      <c r="T62">
        <v>0</v>
      </c>
      <c r="U62">
        <v>0</v>
      </c>
      <c r="V62">
        <v>1</v>
      </c>
      <c r="W62">
        <v>0</v>
      </c>
      <c r="X62">
        <v>0</v>
      </c>
      <c r="Y62">
        <v>3</v>
      </c>
      <c r="Z62">
        <v>1</v>
      </c>
      <c r="AA62" t="b">
        <v>0</v>
      </c>
    </row>
    <row r="63" spans="1:27" x14ac:dyDescent="0.3">
      <c r="A63" t="s">
        <v>58</v>
      </c>
      <c r="B63" t="s">
        <v>381</v>
      </c>
      <c r="C63"/>
      <c r="D63" t="s">
        <v>58</v>
      </c>
      <c r="E63"/>
      <c r="F63"/>
      <c r="G63">
        <v>2.1666666669999999</v>
      </c>
      <c r="H63">
        <v>0</v>
      </c>
      <c r="I63">
        <v>1</v>
      </c>
      <c r="J63">
        <v>1</v>
      </c>
      <c r="K63">
        <v>1</v>
      </c>
      <c r="L63">
        <v>1</v>
      </c>
      <c r="M63">
        <v>0</v>
      </c>
      <c r="N63">
        <v>0</v>
      </c>
      <c r="O63">
        <v>1</v>
      </c>
      <c r="P63">
        <v>0</v>
      </c>
      <c r="Q63">
        <v>0</v>
      </c>
      <c r="R63">
        <v>0</v>
      </c>
      <c r="S63">
        <v>0</v>
      </c>
      <c r="T63">
        <v>0</v>
      </c>
      <c r="U63">
        <v>0</v>
      </c>
      <c r="V63">
        <v>0</v>
      </c>
      <c r="W63">
        <v>0</v>
      </c>
      <c r="X63">
        <v>0</v>
      </c>
      <c r="Y63">
        <v>5</v>
      </c>
      <c r="Z63">
        <v>0</v>
      </c>
      <c r="AA63" t="b">
        <v>0</v>
      </c>
    </row>
    <row r="64" spans="1:27" x14ac:dyDescent="0.3">
      <c r="A64" t="s">
        <v>59</v>
      </c>
      <c r="B64" t="s">
        <v>59</v>
      </c>
      <c r="C64"/>
      <c r="D64" t="s">
        <v>59</v>
      </c>
      <c r="E64"/>
      <c r="F64"/>
      <c r="G64">
        <v>4.7958333340000001</v>
      </c>
      <c r="H64">
        <v>1</v>
      </c>
      <c r="I64">
        <v>0</v>
      </c>
      <c r="J64">
        <v>0</v>
      </c>
      <c r="K64">
        <v>1</v>
      </c>
      <c r="L64">
        <v>1</v>
      </c>
      <c r="M64">
        <v>0</v>
      </c>
      <c r="N64">
        <v>0</v>
      </c>
      <c r="O64">
        <v>0</v>
      </c>
      <c r="P64">
        <v>0</v>
      </c>
      <c r="Q64">
        <v>0</v>
      </c>
      <c r="R64">
        <v>0</v>
      </c>
      <c r="S64">
        <v>0</v>
      </c>
      <c r="T64">
        <v>0</v>
      </c>
      <c r="U64">
        <v>0</v>
      </c>
      <c r="V64">
        <v>0</v>
      </c>
      <c r="W64">
        <v>0</v>
      </c>
      <c r="X64">
        <v>1</v>
      </c>
      <c r="Y64">
        <v>3</v>
      </c>
      <c r="Z64">
        <v>1</v>
      </c>
      <c r="AA64" t="b">
        <v>1</v>
      </c>
    </row>
    <row r="65" spans="1:27" x14ac:dyDescent="0.3">
      <c r="A65" t="s">
        <v>60</v>
      </c>
      <c r="B65" t="s">
        <v>60</v>
      </c>
      <c r="C65"/>
      <c r="D65" t="s">
        <v>60</v>
      </c>
      <c r="E65"/>
      <c r="F65"/>
      <c r="G65">
        <v>2.5125000000000002</v>
      </c>
      <c r="H65">
        <v>0</v>
      </c>
      <c r="I65">
        <v>1</v>
      </c>
      <c r="J65">
        <v>1</v>
      </c>
      <c r="K65">
        <v>1</v>
      </c>
      <c r="L65">
        <v>1</v>
      </c>
      <c r="M65">
        <v>1</v>
      </c>
      <c r="N65">
        <v>0</v>
      </c>
      <c r="O65">
        <v>0</v>
      </c>
      <c r="P65">
        <v>1</v>
      </c>
      <c r="Q65">
        <v>0</v>
      </c>
      <c r="R65">
        <v>0</v>
      </c>
      <c r="S65">
        <v>0</v>
      </c>
      <c r="T65">
        <v>0</v>
      </c>
      <c r="U65">
        <v>0</v>
      </c>
      <c r="V65">
        <v>1</v>
      </c>
      <c r="W65">
        <v>0</v>
      </c>
      <c r="X65">
        <v>0</v>
      </c>
      <c r="Y65">
        <v>6</v>
      </c>
      <c r="Z65">
        <v>1</v>
      </c>
      <c r="AA65" t="b">
        <v>0</v>
      </c>
    </row>
    <row r="66" spans="1:27" x14ac:dyDescent="0.3">
      <c r="A66" t="s">
        <v>61</v>
      </c>
      <c r="B66" t="s">
        <v>61</v>
      </c>
      <c r="C66"/>
      <c r="D66" t="s">
        <v>61</v>
      </c>
      <c r="E66"/>
      <c r="F66"/>
      <c r="G66">
        <v>2.75</v>
      </c>
      <c r="H66">
        <v>1</v>
      </c>
      <c r="I66">
        <v>1</v>
      </c>
      <c r="J66">
        <v>0</v>
      </c>
      <c r="K66">
        <v>1</v>
      </c>
      <c r="L66">
        <v>1</v>
      </c>
      <c r="M66">
        <v>1</v>
      </c>
      <c r="N66">
        <v>0</v>
      </c>
      <c r="O66">
        <v>0</v>
      </c>
      <c r="P66">
        <v>0</v>
      </c>
      <c r="Q66">
        <v>0</v>
      </c>
      <c r="R66">
        <v>0</v>
      </c>
      <c r="S66">
        <v>1</v>
      </c>
      <c r="T66">
        <v>0</v>
      </c>
      <c r="U66">
        <v>0</v>
      </c>
      <c r="V66">
        <v>1</v>
      </c>
      <c r="W66">
        <v>0</v>
      </c>
      <c r="X66">
        <v>1</v>
      </c>
      <c r="Y66">
        <v>5</v>
      </c>
      <c r="Z66">
        <v>3</v>
      </c>
      <c r="AA66" t="b">
        <v>0</v>
      </c>
    </row>
    <row r="67" spans="1:27" x14ac:dyDescent="0.3">
      <c r="A67" t="s">
        <v>62</v>
      </c>
      <c r="B67"/>
      <c r="C67" t="s">
        <v>382</v>
      </c>
      <c r="D67" t="s">
        <v>62</v>
      </c>
      <c r="E67"/>
      <c r="F67"/>
      <c r="G67">
        <v>2.2000000000000002</v>
      </c>
      <c r="H67">
        <v>0</v>
      </c>
      <c r="I67">
        <v>0</v>
      </c>
      <c r="J67">
        <v>0</v>
      </c>
      <c r="K67">
        <v>1</v>
      </c>
      <c r="L67">
        <v>1</v>
      </c>
      <c r="M67">
        <v>1</v>
      </c>
      <c r="N67">
        <v>0</v>
      </c>
      <c r="O67">
        <v>0</v>
      </c>
      <c r="P67">
        <v>0</v>
      </c>
      <c r="Q67">
        <v>0</v>
      </c>
      <c r="R67">
        <v>0</v>
      </c>
      <c r="S67">
        <v>0</v>
      </c>
      <c r="T67">
        <v>0</v>
      </c>
      <c r="U67">
        <v>1</v>
      </c>
      <c r="V67">
        <v>0</v>
      </c>
      <c r="W67">
        <v>0</v>
      </c>
      <c r="X67">
        <v>1</v>
      </c>
      <c r="Y67">
        <v>3</v>
      </c>
      <c r="Z67">
        <v>2</v>
      </c>
      <c r="AA67" t="b">
        <v>0</v>
      </c>
    </row>
    <row r="68" spans="1:27" x14ac:dyDescent="0.3">
      <c r="A68" t="s">
        <v>63</v>
      </c>
      <c r="B68"/>
      <c r="C68" t="s">
        <v>383</v>
      </c>
      <c r="D68" t="s">
        <v>63</v>
      </c>
      <c r="E68"/>
      <c r="F68"/>
      <c r="G68">
        <v>2.6277780000000002</v>
      </c>
      <c r="H68">
        <v>1</v>
      </c>
      <c r="I68">
        <v>0</v>
      </c>
      <c r="J68">
        <v>0</v>
      </c>
      <c r="K68">
        <v>0</v>
      </c>
      <c r="L68">
        <v>1</v>
      </c>
      <c r="M68">
        <v>1</v>
      </c>
      <c r="N68">
        <v>0</v>
      </c>
      <c r="O68">
        <v>0</v>
      </c>
      <c r="P68">
        <v>0</v>
      </c>
      <c r="Q68">
        <v>0</v>
      </c>
      <c r="R68">
        <v>0</v>
      </c>
      <c r="S68">
        <v>0</v>
      </c>
      <c r="T68">
        <v>0</v>
      </c>
      <c r="U68">
        <v>0</v>
      </c>
      <c r="V68">
        <v>0</v>
      </c>
      <c r="W68">
        <v>0</v>
      </c>
      <c r="X68">
        <v>1</v>
      </c>
      <c r="Y68">
        <v>3</v>
      </c>
      <c r="Z68">
        <v>1</v>
      </c>
      <c r="AA68" t="b">
        <v>0</v>
      </c>
    </row>
    <row r="69" spans="1:27" x14ac:dyDescent="0.3">
      <c r="A69" t="s">
        <v>64</v>
      </c>
      <c r="B69"/>
      <c r="C69" t="s">
        <v>384</v>
      </c>
      <c r="D69" t="s">
        <v>64</v>
      </c>
      <c r="E69"/>
      <c r="F69"/>
      <c r="G69">
        <v>2.627777778</v>
      </c>
      <c r="H69">
        <v>1</v>
      </c>
      <c r="I69">
        <v>1</v>
      </c>
      <c r="J69">
        <v>0</v>
      </c>
      <c r="K69">
        <v>0</v>
      </c>
      <c r="L69">
        <v>0</v>
      </c>
      <c r="M69">
        <v>0</v>
      </c>
      <c r="N69">
        <v>0</v>
      </c>
      <c r="O69">
        <v>0</v>
      </c>
      <c r="P69">
        <v>1</v>
      </c>
      <c r="Q69">
        <v>0</v>
      </c>
      <c r="R69">
        <v>0</v>
      </c>
      <c r="S69">
        <v>0</v>
      </c>
      <c r="T69">
        <v>0</v>
      </c>
      <c r="U69">
        <v>0</v>
      </c>
      <c r="V69">
        <v>0</v>
      </c>
      <c r="W69">
        <v>0</v>
      </c>
      <c r="X69">
        <v>1</v>
      </c>
      <c r="Y69">
        <v>3</v>
      </c>
      <c r="Z69">
        <v>1</v>
      </c>
      <c r="AA69" t="b">
        <v>0</v>
      </c>
    </row>
    <row r="70" spans="1:27" s="2" customFormat="1" x14ac:dyDescent="0.3">
      <c r="A70" s="3" t="s">
        <v>65</v>
      </c>
      <c r="B70" s="3" t="s">
        <v>65</v>
      </c>
      <c r="C70" s="3" t="s">
        <v>65</v>
      </c>
      <c r="D70" s="3" t="s">
        <v>65</v>
      </c>
      <c r="E70" s="3"/>
      <c r="F70" s="3"/>
      <c r="G70" s="3">
        <v>2.66</v>
      </c>
      <c r="H70" s="3">
        <v>1</v>
      </c>
      <c r="I70" s="3">
        <v>1</v>
      </c>
      <c r="J70" s="3">
        <v>1</v>
      </c>
      <c r="K70" s="3">
        <v>0</v>
      </c>
      <c r="L70" s="3">
        <v>0</v>
      </c>
      <c r="M70" s="3">
        <v>0</v>
      </c>
      <c r="N70" s="3">
        <v>0</v>
      </c>
      <c r="O70" s="3">
        <v>0</v>
      </c>
      <c r="P70" s="3">
        <v>1</v>
      </c>
      <c r="Q70" s="3">
        <v>0</v>
      </c>
      <c r="R70" s="3">
        <v>0</v>
      </c>
      <c r="S70" s="3">
        <v>0</v>
      </c>
      <c r="T70" s="3">
        <v>0</v>
      </c>
      <c r="U70" s="3">
        <v>0</v>
      </c>
      <c r="V70" s="3">
        <v>0</v>
      </c>
      <c r="W70" s="3">
        <v>0</v>
      </c>
      <c r="X70" s="3">
        <v>1</v>
      </c>
      <c r="Y70" s="3">
        <v>4</v>
      </c>
      <c r="Z70" s="3">
        <v>1</v>
      </c>
      <c r="AA70" s="3" t="b">
        <v>0</v>
      </c>
    </row>
    <row r="71" spans="1:27" x14ac:dyDescent="0.3">
      <c r="A71" t="s">
        <v>66</v>
      </c>
      <c r="B71" t="s">
        <v>66</v>
      </c>
      <c r="C71"/>
      <c r="D71" t="s">
        <v>66</v>
      </c>
      <c r="E71"/>
      <c r="F71"/>
      <c r="G71">
        <v>2.6</v>
      </c>
      <c r="H71">
        <v>0</v>
      </c>
      <c r="I71">
        <v>0</v>
      </c>
      <c r="J71">
        <v>0</v>
      </c>
      <c r="K71">
        <v>0</v>
      </c>
      <c r="L71">
        <v>0</v>
      </c>
      <c r="M71">
        <v>0</v>
      </c>
      <c r="N71">
        <v>0</v>
      </c>
      <c r="O71">
        <v>0</v>
      </c>
      <c r="P71">
        <v>0</v>
      </c>
      <c r="Q71">
        <v>0</v>
      </c>
      <c r="R71">
        <v>0</v>
      </c>
      <c r="S71">
        <v>0</v>
      </c>
      <c r="T71">
        <v>0</v>
      </c>
      <c r="U71">
        <v>0</v>
      </c>
      <c r="V71">
        <v>0</v>
      </c>
      <c r="W71">
        <v>0</v>
      </c>
      <c r="X71">
        <v>0</v>
      </c>
      <c r="Y71">
        <v>0</v>
      </c>
      <c r="Z71">
        <v>0</v>
      </c>
      <c r="AA71" t="b">
        <v>0</v>
      </c>
    </row>
    <row r="72" spans="1:27" x14ac:dyDescent="0.3">
      <c r="A72" t="s">
        <v>330</v>
      </c>
      <c r="B72" t="s">
        <v>393</v>
      </c>
      <c r="C72"/>
      <c r="D72" t="s">
        <v>330</v>
      </c>
      <c r="E72" t="s">
        <v>330</v>
      </c>
      <c r="F72"/>
      <c r="G72">
        <v>2.6138499999999998</v>
      </c>
      <c r="H72">
        <v>0</v>
      </c>
      <c r="I72">
        <v>1</v>
      </c>
      <c r="J72">
        <v>1</v>
      </c>
      <c r="K72">
        <v>0</v>
      </c>
      <c r="L72">
        <v>0</v>
      </c>
      <c r="M72">
        <v>0</v>
      </c>
      <c r="N72">
        <v>0</v>
      </c>
      <c r="O72">
        <v>0</v>
      </c>
      <c r="P72">
        <v>1</v>
      </c>
      <c r="Q72">
        <v>0</v>
      </c>
      <c r="R72">
        <v>0</v>
      </c>
      <c r="S72">
        <v>0</v>
      </c>
      <c r="T72">
        <v>0</v>
      </c>
      <c r="U72">
        <v>0</v>
      </c>
      <c r="V72">
        <v>0</v>
      </c>
      <c r="W72">
        <v>0</v>
      </c>
      <c r="X72">
        <v>0</v>
      </c>
      <c r="Y72">
        <v>3</v>
      </c>
      <c r="Z72">
        <v>0</v>
      </c>
      <c r="AA72" t="b">
        <v>0</v>
      </c>
    </row>
    <row r="73" spans="1:27" x14ac:dyDescent="0.3">
      <c r="A73" t="s">
        <v>67</v>
      </c>
      <c r="B73" t="s">
        <v>67</v>
      </c>
      <c r="C73"/>
      <c r="D73"/>
      <c r="E73"/>
      <c r="F73"/>
      <c r="G73">
        <v>3.35</v>
      </c>
      <c r="H73">
        <v>1</v>
      </c>
      <c r="I73">
        <v>0</v>
      </c>
      <c r="J73">
        <v>1</v>
      </c>
      <c r="K73">
        <v>0</v>
      </c>
      <c r="L73">
        <v>1</v>
      </c>
      <c r="M73">
        <v>0</v>
      </c>
      <c r="N73">
        <v>0</v>
      </c>
      <c r="O73">
        <v>0</v>
      </c>
      <c r="P73">
        <v>1</v>
      </c>
      <c r="Q73">
        <v>0</v>
      </c>
      <c r="R73">
        <v>0</v>
      </c>
      <c r="S73">
        <v>0</v>
      </c>
      <c r="T73">
        <v>0</v>
      </c>
      <c r="U73">
        <v>0</v>
      </c>
      <c r="V73">
        <v>0</v>
      </c>
      <c r="W73">
        <v>0</v>
      </c>
      <c r="X73">
        <v>1</v>
      </c>
      <c r="Y73">
        <v>4</v>
      </c>
      <c r="Z73">
        <v>1</v>
      </c>
      <c r="AA73" t="b">
        <v>0</v>
      </c>
    </row>
    <row r="74" spans="1:27" x14ac:dyDescent="0.3">
      <c r="A74" t="s">
        <v>68</v>
      </c>
      <c r="B74" t="s">
        <v>68</v>
      </c>
      <c r="C74"/>
      <c r="D74"/>
      <c r="E74"/>
      <c r="F74"/>
      <c r="G74">
        <v>4.05</v>
      </c>
      <c r="H74">
        <v>0</v>
      </c>
      <c r="I74">
        <v>0</v>
      </c>
      <c r="J74">
        <v>0</v>
      </c>
      <c r="K74">
        <v>1</v>
      </c>
      <c r="L74">
        <v>1</v>
      </c>
      <c r="M74">
        <v>0</v>
      </c>
      <c r="N74">
        <v>0</v>
      </c>
      <c r="O74">
        <v>0</v>
      </c>
      <c r="P74">
        <v>0</v>
      </c>
      <c r="Q74">
        <v>0</v>
      </c>
      <c r="R74">
        <v>0</v>
      </c>
      <c r="S74">
        <v>1</v>
      </c>
      <c r="T74">
        <v>0</v>
      </c>
      <c r="U74">
        <v>1</v>
      </c>
      <c r="V74">
        <v>0</v>
      </c>
      <c r="W74">
        <v>0</v>
      </c>
      <c r="X74">
        <v>1</v>
      </c>
      <c r="Y74">
        <v>2</v>
      </c>
      <c r="Z74">
        <v>3</v>
      </c>
      <c r="AA74" t="b">
        <v>0</v>
      </c>
    </row>
    <row r="75" spans="1:27" x14ac:dyDescent="0.3">
      <c r="A75" t="s">
        <v>69</v>
      </c>
      <c r="B75" t="s">
        <v>69</v>
      </c>
      <c r="C75"/>
      <c r="D75"/>
      <c r="E75"/>
      <c r="F75"/>
      <c r="G75">
        <v>5.641666667</v>
      </c>
      <c r="H75">
        <v>0</v>
      </c>
      <c r="I75">
        <v>0</v>
      </c>
      <c r="J75">
        <v>0</v>
      </c>
      <c r="K75">
        <v>1</v>
      </c>
      <c r="L75">
        <v>1</v>
      </c>
      <c r="M75">
        <v>1</v>
      </c>
      <c r="N75">
        <v>1</v>
      </c>
      <c r="O75">
        <v>0</v>
      </c>
      <c r="P75">
        <v>0</v>
      </c>
      <c r="Q75">
        <v>0</v>
      </c>
      <c r="R75">
        <v>0</v>
      </c>
      <c r="S75">
        <v>1</v>
      </c>
      <c r="T75">
        <v>0</v>
      </c>
      <c r="U75">
        <v>0</v>
      </c>
      <c r="V75">
        <v>0</v>
      </c>
      <c r="W75">
        <v>0</v>
      </c>
      <c r="X75">
        <v>1</v>
      </c>
      <c r="Y75">
        <v>4</v>
      </c>
      <c r="Z75">
        <v>2</v>
      </c>
      <c r="AA75" t="b">
        <v>0</v>
      </c>
    </row>
    <row r="76" spans="1:27" x14ac:dyDescent="0.3">
      <c r="A76" t="s">
        <v>70</v>
      </c>
      <c r="B76" t="s">
        <v>385</v>
      </c>
      <c r="C76"/>
      <c r="D76"/>
      <c r="E76"/>
      <c r="F76"/>
      <c r="G76">
        <v>4.016666667</v>
      </c>
      <c r="H76">
        <v>0</v>
      </c>
      <c r="I76">
        <v>0</v>
      </c>
      <c r="J76">
        <v>0</v>
      </c>
      <c r="K76">
        <v>1</v>
      </c>
      <c r="L76">
        <v>0</v>
      </c>
      <c r="M76">
        <v>0</v>
      </c>
      <c r="N76">
        <v>0</v>
      </c>
      <c r="O76">
        <v>0</v>
      </c>
      <c r="P76">
        <v>0</v>
      </c>
      <c r="Q76">
        <v>0</v>
      </c>
      <c r="R76">
        <v>0</v>
      </c>
      <c r="S76">
        <v>1</v>
      </c>
      <c r="T76">
        <v>0</v>
      </c>
      <c r="U76">
        <v>0</v>
      </c>
      <c r="V76">
        <v>0</v>
      </c>
      <c r="W76">
        <v>0</v>
      </c>
      <c r="X76">
        <v>1</v>
      </c>
      <c r="Y76">
        <v>1</v>
      </c>
      <c r="Z76">
        <v>2</v>
      </c>
      <c r="AA76" t="b">
        <v>0</v>
      </c>
    </row>
    <row r="77" spans="1:27" x14ac:dyDescent="0.3">
      <c r="A77" t="s">
        <v>71</v>
      </c>
      <c r="B77" s="6"/>
      <c r="C77" t="s">
        <v>71</v>
      </c>
      <c r="D77" s="3" t="s">
        <v>71</v>
      </c>
      <c r="E77" s="3" t="s">
        <v>71</v>
      </c>
      <c r="F77"/>
      <c r="G77">
        <v>4.2833333339999999</v>
      </c>
      <c r="H77">
        <v>0</v>
      </c>
      <c r="I77">
        <v>0</v>
      </c>
      <c r="J77">
        <v>1</v>
      </c>
      <c r="K77">
        <v>1</v>
      </c>
      <c r="L77">
        <v>0</v>
      </c>
      <c r="M77">
        <v>0</v>
      </c>
      <c r="N77">
        <v>0</v>
      </c>
      <c r="O77">
        <v>0</v>
      </c>
      <c r="P77">
        <v>0</v>
      </c>
      <c r="Q77">
        <v>0</v>
      </c>
      <c r="R77">
        <v>0</v>
      </c>
      <c r="S77">
        <v>0</v>
      </c>
      <c r="T77">
        <v>0</v>
      </c>
      <c r="U77">
        <v>0</v>
      </c>
      <c r="V77">
        <v>1</v>
      </c>
      <c r="W77">
        <v>1</v>
      </c>
      <c r="X77">
        <v>1</v>
      </c>
      <c r="Y77">
        <v>2</v>
      </c>
      <c r="Z77">
        <v>3</v>
      </c>
      <c r="AA77" t="b">
        <v>0</v>
      </c>
    </row>
    <row r="78" spans="1:27" x14ac:dyDescent="0.3">
      <c r="A78" t="s">
        <v>71</v>
      </c>
      <c r="B78" s="3" t="s">
        <v>501</v>
      </c>
      <c r="C78" t="s">
        <v>71</v>
      </c>
      <c r="D78" s="3" t="s">
        <v>71</v>
      </c>
      <c r="E78" s="3" t="s">
        <v>71</v>
      </c>
      <c r="F78"/>
      <c r="G78">
        <v>4.2833333339999999</v>
      </c>
      <c r="H78">
        <v>0</v>
      </c>
      <c r="I78">
        <v>0</v>
      </c>
      <c r="J78">
        <v>1</v>
      </c>
      <c r="K78">
        <v>1</v>
      </c>
      <c r="L78">
        <v>0</v>
      </c>
      <c r="M78">
        <v>0</v>
      </c>
      <c r="N78">
        <v>0</v>
      </c>
      <c r="O78">
        <v>0</v>
      </c>
      <c r="P78">
        <v>0</v>
      </c>
      <c r="Q78">
        <v>0</v>
      </c>
      <c r="R78">
        <v>0</v>
      </c>
      <c r="S78">
        <v>0</v>
      </c>
      <c r="T78">
        <v>0</v>
      </c>
      <c r="U78">
        <v>0</v>
      </c>
      <c r="V78">
        <v>1</v>
      </c>
      <c r="W78">
        <v>1</v>
      </c>
      <c r="X78">
        <v>1</v>
      </c>
      <c r="Y78">
        <v>2</v>
      </c>
      <c r="Z78">
        <v>3</v>
      </c>
      <c r="AA78" t="b">
        <v>0</v>
      </c>
    </row>
    <row r="79" spans="1:27" x14ac:dyDescent="0.3">
      <c r="A79" t="s">
        <v>71</v>
      </c>
      <c r="B79" s="3" t="s">
        <v>486</v>
      </c>
      <c r="C79" t="s">
        <v>71</v>
      </c>
      <c r="D79" s="3" t="s">
        <v>71</v>
      </c>
      <c r="E79" s="3" t="s">
        <v>71</v>
      </c>
      <c r="F79"/>
      <c r="G79">
        <v>4.2833333339999999</v>
      </c>
      <c r="H79">
        <v>0</v>
      </c>
      <c r="I79">
        <v>0</v>
      </c>
      <c r="J79">
        <v>1</v>
      </c>
      <c r="K79">
        <v>1</v>
      </c>
      <c r="L79">
        <v>0</v>
      </c>
      <c r="M79">
        <v>0</v>
      </c>
      <c r="N79">
        <v>0</v>
      </c>
      <c r="O79">
        <v>0</v>
      </c>
      <c r="P79">
        <v>0</v>
      </c>
      <c r="Q79">
        <v>0</v>
      </c>
      <c r="R79">
        <v>0</v>
      </c>
      <c r="S79">
        <v>0</v>
      </c>
      <c r="T79">
        <v>0</v>
      </c>
      <c r="U79">
        <v>0</v>
      </c>
      <c r="V79">
        <v>1</v>
      </c>
      <c r="W79">
        <v>1</v>
      </c>
      <c r="X79">
        <v>1</v>
      </c>
      <c r="Y79">
        <v>2</v>
      </c>
      <c r="Z79">
        <v>3</v>
      </c>
      <c r="AA79" t="b">
        <v>0</v>
      </c>
    </row>
    <row r="80" spans="1:27" x14ac:dyDescent="0.3">
      <c r="A80" t="s">
        <v>72</v>
      </c>
      <c r="B80"/>
      <c r="C80" t="s">
        <v>386</v>
      </c>
      <c r="D80"/>
      <c r="E80"/>
      <c r="F80"/>
      <c r="G80">
        <v>3.0249999999999999</v>
      </c>
      <c r="H80">
        <v>1</v>
      </c>
      <c r="I80">
        <v>0</v>
      </c>
      <c r="J80">
        <v>1</v>
      </c>
      <c r="K80">
        <v>1</v>
      </c>
      <c r="L80">
        <v>0</v>
      </c>
      <c r="M80">
        <v>0</v>
      </c>
      <c r="N80">
        <v>0</v>
      </c>
      <c r="O80">
        <v>0</v>
      </c>
      <c r="P80">
        <v>0</v>
      </c>
      <c r="Q80">
        <v>0</v>
      </c>
      <c r="R80">
        <v>0</v>
      </c>
      <c r="S80">
        <v>0</v>
      </c>
      <c r="T80">
        <v>0</v>
      </c>
      <c r="U80">
        <v>0</v>
      </c>
      <c r="V80">
        <v>0</v>
      </c>
      <c r="W80">
        <v>0</v>
      </c>
      <c r="X80">
        <v>0</v>
      </c>
      <c r="Y80">
        <v>3</v>
      </c>
      <c r="Z80">
        <v>0</v>
      </c>
      <c r="AA80" t="b">
        <v>0</v>
      </c>
    </row>
    <row r="81" spans="1:27" x14ac:dyDescent="0.3">
      <c r="A81" t="s">
        <v>73</v>
      </c>
      <c r="B81" t="s">
        <v>387</v>
      </c>
      <c r="C81"/>
      <c r="D81"/>
      <c r="E81"/>
      <c r="F81"/>
      <c r="G81">
        <v>2.3728571430000001</v>
      </c>
      <c r="H81">
        <v>0</v>
      </c>
      <c r="I81">
        <v>1</v>
      </c>
      <c r="J81">
        <v>1</v>
      </c>
      <c r="K81">
        <v>1</v>
      </c>
      <c r="L81">
        <v>0</v>
      </c>
      <c r="M81">
        <v>0</v>
      </c>
      <c r="N81">
        <v>0</v>
      </c>
      <c r="O81">
        <v>1</v>
      </c>
      <c r="P81">
        <v>0</v>
      </c>
      <c r="Q81">
        <v>0</v>
      </c>
      <c r="R81">
        <v>1</v>
      </c>
      <c r="S81">
        <v>0</v>
      </c>
      <c r="T81">
        <v>0</v>
      </c>
      <c r="U81">
        <v>0</v>
      </c>
      <c r="V81">
        <v>0</v>
      </c>
      <c r="W81">
        <v>1</v>
      </c>
      <c r="X81">
        <v>0</v>
      </c>
      <c r="Y81">
        <v>5</v>
      </c>
      <c r="Z81">
        <v>1</v>
      </c>
      <c r="AA81" t="b">
        <v>0</v>
      </c>
    </row>
    <row r="82" spans="1:27" x14ac:dyDescent="0.3">
      <c r="A82" t="s">
        <v>74</v>
      </c>
      <c r="B82" t="s">
        <v>388</v>
      </c>
      <c r="C82"/>
      <c r="D82"/>
      <c r="E82"/>
      <c r="F82"/>
      <c r="G82">
        <v>3.87</v>
      </c>
      <c r="H82">
        <v>1</v>
      </c>
      <c r="I82">
        <v>0</v>
      </c>
      <c r="J82">
        <v>1</v>
      </c>
      <c r="K82">
        <v>1</v>
      </c>
      <c r="L82">
        <v>1</v>
      </c>
      <c r="M82">
        <v>1</v>
      </c>
      <c r="N82">
        <v>0</v>
      </c>
      <c r="O82">
        <v>0</v>
      </c>
      <c r="P82">
        <v>0</v>
      </c>
      <c r="Q82">
        <v>0</v>
      </c>
      <c r="R82">
        <v>0</v>
      </c>
      <c r="S82">
        <v>0</v>
      </c>
      <c r="T82">
        <v>0</v>
      </c>
      <c r="U82">
        <v>1</v>
      </c>
      <c r="V82">
        <v>0</v>
      </c>
      <c r="W82">
        <v>1</v>
      </c>
      <c r="X82">
        <v>1</v>
      </c>
      <c r="Y82">
        <v>5</v>
      </c>
      <c r="Z82">
        <v>3</v>
      </c>
      <c r="AA82" t="b">
        <v>0</v>
      </c>
    </row>
    <row r="83" spans="1:27" s="2" customFormat="1" x14ac:dyDescent="0.3">
      <c r="A83" s="3"/>
      <c r="B83" s="3" t="s">
        <v>496</v>
      </c>
      <c r="C83" s="3"/>
      <c r="D83" s="3" t="s">
        <v>496</v>
      </c>
      <c r="E83" s="3" t="s">
        <v>496</v>
      </c>
      <c r="F83" s="3"/>
      <c r="G83" s="3">
        <f>(3.4+4.5)/2</f>
        <v>3.95</v>
      </c>
      <c r="H83" s="3"/>
      <c r="I83" s="3"/>
      <c r="J83" s="3"/>
      <c r="K83" s="3"/>
      <c r="L83" s="3"/>
      <c r="M83" s="3"/>
      <c r="N83" s="3"/>
      <c r="O83" s="3"/>
      <c r="P83" s="3"/>
      <c r="Q83" s="3"/>
      <c r="R83" s="3"/>
      <c r="S83" s="3">
        <v>0</v>
      </c>
      <c r="T83" s="3">
        <v>0</v>
      </c>
      <c r="U83" s="3">
        <v>0</v>
      </c>
      <c r="V83" s="3">
        <v>0</v>
      </c>
      <c r="W83" s="3">
        <v>1</v>
      </c>
      <c r="X83" s="3">
        <v>1</v>
      </c>
      <c r="Y83" s="3"/>
      <c r="Z83" s="3">
        <v>2</v>
      </c>
      <c r="AA83" s="3" t="s">
        <v>462</v>
      </c>
    </row>
    <row r="84" spans="1:27" s="2" customFormat="1" x14ac:dyDescent="0.3">
      <c r="A84" s="3"/>
      <c r="B84" s="3" t="s">
        <v>469</v>
      </c>
      <c r="C84" s="3"/>
      <c r="D84" s="3" t="s">
        <v>469</v>
      </c>
      <c r="E84" s="3" t="s">
        <v>469</v>
      </c>
      <c r="F84" s="3"/>
      <c r="G84" s="3">
        <v>3.75</v>
      </c>
      <c r="H84" s="3"/>
      <c r="I84" s="3"/>
      <c r="J84" s="3"/>
      <c r="K84" s="3"/>
      <c r="L84" s="3"/>
      <c r="M84" s="3"/>
      <c r="N84" s="3"/>
      <c r="O84" s="3"/>
      <c r="P84" s="3"/>
      <c r="Q84" s="3"/>
      <c r="R84" s="3"/>
      <c r="S84" s="3">
        <v>0</v>
      </c>
      <c r="T84" s="3">
        <v>0</v>
      </c>
      <c r="U84" s="3">
        <v>1</v>
      </c>
      <c r="V84" s="3">
        <v>0</v>
      </c>
      <c r="W84" s="3">
        <v>1</v>
      </c>
      <c r="X84" s="3">
        <v>1</v>
      </c>
      <c r="Y84" s="3"/>
      <c r="Z84" s="3">
        <v>3</v>
      </c>
      <c r="AA84" s="3" t="s">
        <v>462</v>
      </c>
    </row>
    <row r="85" spans="1:27" x14ac:dyDescent="0.3">
      <c r="A85" t="s">
        <v>75</v>
      </c>
      <c r="B85" t="s">
        <v>75</v>
      </c>
      <c r="C85"/>
      <c r="D85"/>
      <c r="E85"/>
      <c r="F85"/>
      <c r="G85">
        <v>3.5</v>
      </c>
      <c r="H85">
        <v>1</v>
      </c>
      <c r="I85">
        <v>0</v>
      </c>
      <c r="J85">
        <v>1</v>
      </c>
      <c r="K85">
        <v>1</v>
      </c>
      <c r="L85">
        <v>0</v>
      </c>
      <c r="M85">
        <v>1</v>
      </c>
      <c r="N85">
        <v>0</v>
      </c>
      <c r="O85">
        <v>0</v>
      </c>
      <c r="P85">
        <v>0</v>
      </c>
      <c r="Q85">
        <v>0</v>
      </c>
      <c r="R85">
        <v>0</v>
      </c>
      <c r="S85">
        <v>0</v>
      </c>
      <c r="T85">
        <v>0</v>
      </c>
      <c r="U85">
        <v>0</v>
      </c>
      <c r="V85">
        <v>0</v>
      </c>
      <c r="W85">
        <v>1</v>
      </c>
      <c r="X85">
        <v>1</v>
      </c>
      <c r="Y85">
        <v>4</v>
      </c>
      <c r="Z85">
        <v>2</v>
      </c>
      <c r="AA85" t="b">
        <v>0</v>
      </c>
    </row>
    <row r="86" spans="1:27" x14ac:dyDescent="0.3">
      <c r="A86" t="s">
        <v>76</v>
      </c>
      <c r="B86" t="s">
        <v>76</v>
      </c>
      <c r="C86"/>
      <c r="D86"/>
      <c r="E86"/>
      <c r="F86"/>
      <c r="G86">
        <v>3.8</v>
      </c>
      <c r="H86">
        <v>1</v>
      </c>
      <c r="I86">
        <v>0</v>
      </c>
      <c r="J86">
        <v>1</v>
      </c>
      <c r="K86">
        <v>0</v>
      </c>
      <c r="L86">
        <v>1</v>
      </c>
      <c r="M86">
        <v>1</v>
      </c>
      <c r="N86">
        <v>0</v>
      </c>
      <c r="O86">
        <v>0</v>
      </c>
      <c r="P86">
        <v>0</v>
      </c>
      <c r="Q86">
        <v>0</v>
      </c>
      <c r="R86">
        <v>0</v>
      </c>
      <c r="S86">
        <v>0</v>
      </c>
      <c r="T86">
        <v>1</v>
      </c>
      <c r="U86">
        <v>1</v>
      </c>
      <c r="V86">
        <v>0</v>
      </c>
      <c r="W86">
        <v>0</v>
      </c>
      <c r="X86">
        <v>0</v>
      </c>
      <c r="Y86">
        <v>4</v>
      </c>
      <c r="Z86">
        <v>2</v>
      </c>
      <c r="AA86" t="b">
        <v>0</v>
      </c>
    </row>
    <row r="87" spans="1:27" x14ac:dyDescent="0.3">
      <c r="A87" t="s">
        <v>77</v>
      </c>
      <c r="B87" t="s">
        <v>77</v>
      </c>
      <c r="C87"/>
      <c r="D87"/>
      <c r="E87"/>
      <c r="F87"/>
      <c r="G87">
        <v>5.6</v>
      </c>
      <c r="H87">
        <v>1</v>
      </c>
      <c r="I87">
        <v>0</v>
      </c>
      <c r="J87">
        <v>1</v>
      </c>
      <c r="K87">
        <v>0</v>
      </c>
      <c r="L87">
        <v>1</v>
      </c>
      <c r="M87">
        <v>1</v>
      </c>
      <c r="N87">
        <v>0</v>
      </c>
      <c r="O87">
        <v>0</v>
      </c>
      <c r="P87">
        <v>0</v>
      </c>
      <c r="Q87">
        <v>0</v>
      </c>
      <c r="R87">
        <v>0</v>
      </c>
      <c r="S87">
        <v>0</v>
      </c>
      <c r="T87">
        <v>0</v>
      </c>
      <c r="U87">
        <v>0</v>
      </c>
      <c r="V87">
        <v>0</v>
      </c>
      <c r="W87">
        <v>1</v>
      </c>
      <c r="X87">
        <v>1</v>
      </c>
      <c r="Y87">
        <v>4</v>
      </c>
      <c r="Z87">
        <v>2</v>
      </c>
      <c r="AA87" t="b">
        <v>0</v>
      </c>
    </row>
    <row r="88" spans="1:27" x14ac:dyDescent="0.3">
      <c r="A88" t="s">
        <v>78</v>
      </c>
      <c r="B88" t="s">
        <v>78</v>
      </c>
      <c r="C88"/>
      <c r="D88"/>
      <c r="E88"/>
      <c r="F88"/>
      <c r="G88">
        <v>4.3049999999999997</v>
      </c>
      <c r="H88">
        <v>1</v>
      </c>
      <c r="I88">
        <v>0</v>
      </c>
      <c r="J88">
        <v>1</v>
      </c>
      <c r="K88">
        <v>0</v>
      </c>
      <c r="L88">
        <v>1</v>
      </c>
      <c r="M88">
        <v>1</v>
      </c>
      <c r="N88">
        <v>1</v>
      </c>
      <c r="O88">
        <v>0</v>
      </c>
      <c r="P88">
        <v>0</v>
      </c>
      <c r="Q88">
        <v>0</v>
      </c>
      <c r="R88">
        <v>0</v>
      </c>
      <c r="S88">
        <v>0</v>
      </c>
      <c r="T88">
        <v>0</v>
      </c>
      <c r="U88">
        <v>0</v>
      </c>
      <c r="V88">
        <v>0</v>
      </c>
      <c r="W88">
        <v>1</v>
      </c>
      <c r="X88">
        <v>1</v>
      </c>
      <c r="Y88">
        <v>5</v>
      </c>
      <c r="Z88">
        <v>2</v>
      </c>
      <c r="AA88" t="b">
        <v>0</v>
      </c>
    </row>
    <row r="89" spans="1:27" x14ac:dyDescent="0.3">
      <c r="A89" t="s">
        <v>79</v>
      </c>
      <c r="B89" t="s">
        <v>79</v>
      </c>
      <c r="C89"/>
      <c r="D89"/>
      <c r="E89"/>
      <c r="F89"/>
      <c r="G89">
        <v>4.1124999999999998</v>
      </c>
      <c r="H89">
        <v>0</v>
      </c>
      <c r="I89">
        <v>0</v>
      </c>
      <c r="J89">
        <v>1</v>
      </c>
      <c r="K89">
        <v>0</v>
      </c>
      <c r="L89">
        <v>1</v>
      </c>
      <c r="M89">
        <v>1</v>
      </c>
      <c r="N89">
        <v>1</v>
      </c>
      <c r="O89">
        <v>0</v>
      </c>
      <c r="P89">
        <v>0</v>
      </c>
      <c r="Q89">
        <v>0</v>
      </c>
      <c r="R89">
        <v>0</v>
      </c>
      <c r="S89">
        <v>0</v>
      </c>
      <c r="T89">
        <v>0</v>
      </c>
      <c r="U89">
        <v>0</v>
      </c>
      <c r="V89">
        <v>0</v>
      </c>
      <c r="W89">
        <v>0</v>
      </c>
      <c r="X89">
        <v>1</v>
      </c>
      <c r="Y89">
        <v>4</v>
      </c>
      <c r="Z89">
        <v>1</v>
      </c>
      <c r="AA89" t="b">
        <v>0</v>
      </c>
    </row>
    <row r="90" spans="1:27" x14ac:dyDescent="0.3">
      <c r="A90" t="s">
        <v>80</v>
      </c>
      <c r="B90"/>
      <c r="C90" t="s">
        <v>389</v>
      </c>
      <c r="D90"/>
      <c r="E90"/>
      <c r="F90"/>
      <c r="G90">
        <v>3.75</v>
      </c>
      <c r="H90">
        <v>1</v>
      </c>
      <c r="I90">
        <v>0</v>
      </c>
      <c r="J90">
        <v>1</v>
      </c>
      <c r="K90">
        <v>1</v>
      </c>
      <c r="L90">
        <v>1</v>
      </c>
      <c r="M90">
        <v>1</v>
      </c>
      <c r="N90">
        <v>0</v>
      </c>
      <c r="O90">
        <v>0</v>
      </c>
      <c r="P90">
        <v>0</v>
      </c>
      <c r="Q90">
        <v>0</v>
      </c>
      <c r="R90">
        <v>0</v>
      </c>
      <c r="S90">
        <v>0</v>
      </c>
      <c r="T90">
        <v>0</v>
      </c>
      <c r="U90">
        <v>0</v>
      </c>
      <c r="V90">
        <v>0</v>
      </c>
      <c r="W90">
        <v>1</v>
      </c>
      <c r="X90">
        <v>1</v>
      </c>
      <c r="Y90">
        <v>5</v>
      </c>
      <c r="Z90">
        <v>2</v>
      </c>
      <c r="AA90" t="b">
        <v>0</v>
      </c>
    </row>
    <row r="91" spans="1:27" x14ac:dyDescent="0.3">
      <c r="A91" t="s">
        <v>331</v>
      </c>
      <c r="B91" t="s">
        <v>390</v>
      </c>
      <c r="C91"/>
      <c r="D91" t="s">
        <v>331</v>
      </c>
      <c r="E91" t="s">
        <v>331</v>
      </c>
      <c r="F91"/>
      <c r="G91">
        <v>3.46665</v>
      </c>
      <c r="H91">
        <v>1</v>
      </c>
      <c r="I91">
        <v>0</v>
      </c>
      <c r="J91">
        <v>0</v>
      </c>
      <c r="K91">
        <v>0</v>
      </c>
      <c r="L91">
        <v>0</v>
      </c>
      <c r="M91">
        <v>1</v>
      </c>
      <c r="N91">
        <v>1</v>
      </c>
      <c r="O91">
        <v>0</v>
      </c>
      <c r="P91">
        <v>0</v>
      </c>
      <c r="Q91">
        <v>0</v>
      </c>
      <c r="R91">
        <v>0</v>
      </c>
      <c r="S91">
        <v>0</v>
      </c>
      <c r="T91">
        <v>1</v>
      </c>
      <c r="U91">
        <v>1</v>
      </c>
      <c r="V91">
        <v>0</v>
      </c>
      <c r="W91">
        <v>1</v>
      </c>
      <c r="X91">
        <v>1</v>
      </c>
      <c r="Y91">
        <v>3</v>
      </c>
      <c r="Z91">
        <v>4</v>
      </c>
      <c r="AA91" t="b">
        <v>0</v>
      </c>
    </row>
    <row r="92" spans="1:27" s="2" customFormat="1" x14ac:dyDescent="0.3">
      <c r="A92" s="3" t="s">
        <v>81</v>
      </c>
      <c r="B92" s="3" t="s">
        <v>470</v>
      </c>
      <c r="C92" s="3"/>
      <c r="D92" s="3" t="s">
        <v>81</v>
      </c>
      <c r="E92" s="3"/>
      <c r="F92" s="3"/>
      <c r="G92" s="3">
        <v>3.25</v>
      </c>
      <c r="H92" s="3">
        <v>0</v>
      </c>
      <c r="I92" s="3">
        <v>1</v>
      </c>
      <c r="J92" s="3">
        <v>1</v>
      </c>
      <c r="K92" s="3">
        <v>1</v>
      </c>
      <c r="L92" s="3">
        <v>0</v>
      </c>
      <c r="M92" s="3">
        <v>1</v>
      </c>
      <c r="N92" s="3">
        <v>0</v>
      </c>
      <c r="O92" s="3">
        <v>1</v>
      </c>
      <c r="P92" s="3">
        <v>0</v>
      </c>
      <c r="Q92" s="3">
        <v>0</v>
      </c>
      <c r="R92" s="3">
        <v>0</v>
      </c>
      <c r="S92" s="3">
        <v>1</v>
      </c>
      <c r="T92" s="3">
        <v>0</v>
      </c>
      <c r="U92" s="3">
        <v>0</v>
      </c>
      <c r="V92" s="3">
        <v>0</v>
      </c>
      <c r="W92" s="3">
        <v>0</v>
      </c>
      <c r="X92" s="3">
        <v>1</v>
      </c>
      <c r="Y92" s="3">
        <v>5</v>
      </c>
      <c r="Z92" s="3">
        <v>2</v>
      </c>
      <c r="AA92" s="3" t="b">
        <v>0</v>
      </c>
    </row>
    <row r="93" spans="1:27" x14ac:dyDescent="0.3">
      <c r="A93" t="s">
        <v>82</v>
      </c>
      <c r="B93" t="s">
        <v>82</v>
      </c>
      <c r="C93"/>
      <c r="D93"/>
      <c r="E93"/>
      <c r="F93"/>
      <c r="G93">
        <v>3.95</v>
      </c>
      <c r="H93">
        <v>0</v>
      </c>
      <c r="I93">
        <v>1</v>
      </c>
      <c r="J93">
        <v>1</v>
      </c>
      <c r="K93">
        <v>1</v>
      </c>
      <c r="L93">
        <v>1</v>
      </c>
      <c r="M93">
        <v>0</v>
      </c>
      <c r="N93">
        <v>0</v>
      </c>
      <c r="O93">
        <v>0</v>
      </c>
      <c r="P93">
        <v>0</v>
      </c>
      <c r="Q93">
        <v>0</v>
      </c>
      <c r="R93">
        <v>0</v>
      </c>
      <c r="S93">
        <v>0</v>
      </c>
      <c r="T93">
        <v>0</v>
      </c>
      <c r="U93">
        <v>1</v>
      </c>
      <c r="V93">
        <v>0</v>
      </c>
      <c r="W93">
        <v>1</v>
      </c>
      <c r="X93">
        <v>1</v>
      </c>
      <c r="Y93">
        <v>4</v>
      </c>
      <c r="Z93">
        <v>3</v>
      </c>
      <c r="AA93" t="b">
        <v>0</v>
      </c>
    </row>
    <row r="94" spans="1:27" x14ac:dyDescent="0.3">
      <c r="A94" t="s">
        <v>83</v>
      </c>
      <c r="B94" t="s">
        <v>83</v>
      </c>
      <c r="C94"/>
      <c r="D94"/>
      <c r="E94"/>
      <c r="F94"/>
      <c r="G94">
        <v>4.085</v>
      </c>
      <c r="H94">
        <v>1</v>
      </c>
      <c r="I94">
        <v>1</v>
      </c>
      <c r="J94">
        <v>1</v>
      </c>
      <c r="K94">
        <v>0</v>
      </c>
      <c r="L94">
        <v>0</v>
      </c>
      <c r="M94">
        <v>0</v>
      </c>
      <c r="N94">
        <v>1</v>
      </c>
      <c r="O94">
        <v>1</v>
      </c>
      <c r="P94">
        <v>0</v>
      </c>
      <c r="Q94">
        <v>0</v>
      </c>
      <c r="R94">
        <v>0</v>
      </c>
      <c r="S94">
        <v>0</v>
      </c>
      <c r="T94">
        <v>0</v>
      </c>
      <c r="U94">
        <v>0</v>
      </c>
      <c r="V94">
        <v>0</v>
      </c>
      <c r="W94">
        <v>0</v>
      </c>
      <c r="X94">
        <v>1</v>
      </c>
      <c r="Y94">
        <v>5</v>
      </c>
      <c r="Z94">
        <v>1</v>
      </c>
      <c r="AA94" t="b">
        <v>1</v>
      </c>
    </row>
    <row r="95" spans="1:27" x14ac:dyDescent="0.3">
      <c r="A95" t="s">
        <v>84</v>
      </c>
      <c r="B95" t="s">
        <v>84</v>
      </c>
      <c r="C95"/>
      <c r="D95"/>
      <c r="E95"/>
      <c r="F95"/>
      <c r="G95">
        <v>4.03</v>
      </c>
      <c r="H95">
        <v>1</v>
      </c>
      <c r="I95">
        <v>1</v>
      </c>
      <c r="J95">
        <v>1</v>
      </c>
      <c r="K95">
        <v>0</v>
      </c>
      <c r="L95">
        <v>0</v>
      </c>
      <c r="M95">
        <v>1</v>
      </c>
      <c r="N95">
        <v>1</v>
      </c>
      <c r="O95">
        <v>1</v>
      </c>
      <c r="P95">
        <v>0</v>
      </c>
      <c r="Q95">
        <v>1</v>
      </c>
      <c r="R95">
        <v>0</v>
      </c>
      <c r="S95">
        <v>0</v>
      </c>
      <c r="T95">
        <v>0</v>
      </c>
      <c r="U95">
        <v>0</v>
      </c>
      <c r="V95">
        <v>0</v>
      </c>
      <c r="W95">
        <v>0</v>
      </c>
      <c r="X95">
        <v>0</v>
      </c>
      <c r="Y95">
        <v>7</v>
      </c>
      <c r="Z95">
        <v>0</v>
      </c>
      <c r="AA95" t="b">
        <v>0</v>
      </c>
    </row>
    <row r="96" spans="1:27" x14ac:dyDescent="0.3">
      <c r="A96" t="s">
        <v>85</v>
      </c>
      <c r="B96" t="s">
        <v>85</v>
      </c>
      <c r="C96"/>
      <c r="D96"/>
      <c r="E96"/>
      <c r="F96"/>
      <c r="G96">
        <v>5.1142857140000002</v>
      </c>
      <c r="H96">
        <v>1</v>
      </c>
      <c r="I96">
        <v>0</v>
      </c>
      <c r="J96">
        <v>1</v>
      </c>
      <c r="K96">
        <v>0</v>
      </c>
      <c r="L96">
        <v>0</v>
      </c>
      <c r="M96">
        <v>1</v>
      </c>
      <c r="N96">
        <v>1</v>
      </c>
      <c r="O96">
        <v>0</v>
      </c>
      <c r="P96">
        <v>0</v>
      </c>
      <c r="Q96">
        <v>0</v>
      </c>
      <c r="R96">
        <v>0</v>
      </c>
      <c r="S96">
        <v>0</v>
      </c>
      <c r="T96">
        <v>0</v>
      </c>
      <c r="U96">
        <v>0</v>
      </c>
      <c r="V96">
        <v>0</v>
      </c>
      <c r="W96">
        <v>0</v>
      </c>
      <c r="X96">
        <v>1</v>
      </c>
      <c r="Y96">
        <v>4</v>
      </c>
      <c r="Z96">
        <v>1</v>
      </c>
      <c r="AA96" t="b">
        <v>1</v>
      </c>
    </row>
    <row r="97" spans="1:27" x14ac:dyDescent="0.3">
      <c r="A97" t="s">
        <v>86</v>
      </c>
      <c r="B97" t="s">
        <v>86</v>
      </c>
      <c r="C97"/>
      <c r="D97"/>
      <c r="E97"/>
      <c r="F97"/>
      <c r="G97" t="s">
        <v>321</v>
      </c>
      <c r="H97">
        <v>1</v>
      </c>
      <c r="I97">
        <v>0</v>
      </c>
      <c r="J97">
        <v>1</v>
      </c>
      <c r="K97">
        <v>0</v>
      </c>
      <c r="L97">
        <v>1</v>
      </c>
      <c r="M97">
        <v>0</v>
      </c>
      <c r="N97">
        <v>1</v>
      </c>
      <c r="O97">
        <v>0</v>
      </c>
      <c r="P97">
        <v>0</v>
      </c>
      <c r="Q97">
        <v>0</v>
      </c>
      <c r="R97">
        <v>0</v>
      </c>
      <c r="S97">
        <v>0</v>
      </c>
      <c r="T97">
        <v>0</v>
      </c>
      <c r="U97">
        <v>0</v>
      </c>
      <c r="V97">
        <v>0</v>
      </c>
      <c r="W97">
        <v>0</v>
      </c>
      <c r="X97">
        <v>1</v>
      </c>
      <c r="Y97">
        <v>4</v>
      </c>
      <c r="Z97">
        <v>1</v>
      </c>
      <c r="AA97" t="b">
        <v>0</v>
      </c>
    </row>
    <row r="98" spans="1:27" x14ac:dyDescent="0.3">
      <c r="A98" t="s">
        <v>87</v>
      </c>
      <c r="B98" t="s">
        <v>87</v>
      </c>
      <c r="C98"/>
      <c r="D98"/>
      <c r="E98"/>
      <c r="F98"/>
      <c r="G98">
        <v>4.7</v>
      </c>
      <c r="H98">
        <v>1</v>
      </c>
      <c r="I98">
        <v>0</v>
      </c>
      <c r="J98">
        <v>1</v>
      </c>
      <c r="K98">
        <v>0</v>
      </c>
      <c r="L98">
        <v>0</v>
      </c>
      <c r="M98">
        <v>0</v>
      </c>
      <c r="N98">
        <v>1</v>
      </c>
      <c r="O98">
        <v>0</v>
      </c>
      <c r="P98">
        <v>0</v>
      </c>
      <c r="Q98">
        <v>1</v>
      </c>
      <c r="R98">
        <v>0</v>
      </c>
      <c r="S98">
        <v>0</v>
      </c>
      <c r="T98">
        <v>0</v>
      </c>
      <c r="U98">
        <v>0</v>
      </c>
      <c r="V98">
        <v>0</v>
      </c>
      <c r="W98">
        <v>0</v>
      </c>
      <c r="X98">
        <v>1</v>
      </c>
      <c r="Y98">
        <v>4</v>
      </c>
      <c r="Z98">
        <v>1</v>
      </c>
      <c r="AA98" t="b">
        <v>0</v>
      </c>
    </row>
    <row r="99" spans="1:27" x14ac:dyDescent="0.3">
      <c r="A99" t="s">
        <v>88</v>
      </c>
      <c r="B99" t="s">
        <v>88</v>
      </c>
      <c r="C99"/>
      <c r="D99"/>
      <c r="E99"/>
      <c r="F99"/>
      <c r="G99">
        <v>3.96</v>
      </c>
      <c r="H99">
        <v>0</v>
      </c>
      <c r="I99">
        <v>0</v>
      </c>
      <c r="J99">
        <v>0</v>
      </c>
      <c r="K99">
        <v>0</v>
      </c>
      <c r="L99">
        <v>0</v>
      </c>
      <c r="M99">
        <v>0</v>
      </c>
      <c r="N99">
        <v>0</v>
      </c>
      <c r="O99">
        <v>0</v>
      </c>
      <c r="P99">
        <v>0</v>
      </c>
      <c r="Q99">
        <v>0</v>
      </c>
      <c r="R99">
        <v>0</v>
      </c>
      <c r="S99">
        <v>0</v>
      </c>
      <c r="T99">
        <v>0</v>
      </c>
      <c r="U99">
        <v>0</v>
      </c>
      <c r="V99">
        <v>0</v>
      </c>
      <c r="W99">
        <v>0</v>
      </c>
      <c r="X99">
        <v>0</v>
      </c>
      <c r="Y99">
        <v>0</v>
      </c>
      <c r="Z99">
        <v>0</v>
      </c>
      <c r="AA99" t="b">
        <v>1</v>
      </c>
    </row>
    <row r="100" spans="1:27" x14ac:dyDescent="0.3">
      <c r="A100" t="s">
        <v>89</v>
      </c>
      <c r="B100" t="s">
        <v>89</v>
      </c>
      <c r="C100"/>
      <c r="D100"/>
      <c r="E100"/>
      <c r="F100"/>
      <c r="G100">
        <v>5.3</v>
      </c>
      <c r="H100">
        <v>1</v>
      </c>
      <c r="I100">
        <v>0</v>
      </c>
      <c r="J100">
        <v>1</v>
      </c>
      <c r="K100">
        <v>0</v>
      </c>
      <c r="L100">
        <v>0</v>
      </c>
      <c r="M100">
        <v>1</v>
      </c>
      <c r="N100">
        <v>1</v>
      </c>
      <c r="O100">
        <v>1</v>
      </c>
      <c r="P100">
        <v>0</v>
      </c>
      <c r="Q100">
        <v>1</v>
      </c>
      <c r="R100">
        <v>0</v>
      </c>
      <c r="S100">
        <v>0</v>
      </c>
      <c r="T100">
        <v>0</v>
      </c>
      <c r="U100">
        <v>0</v>
      </c>
      <c r="V100">
        <v>0</v>
      </c>
      <c r="W100">
        <v>0</v>
      </c>
      <c r="X100">
        <v>1</v>
      </c>
      <c r="Y100">
        <v>6</v>
      </c>
      <c r="Z100">
        <v>1</v>
      </c>
      <c r="AA100" t="b">
        <v>1</v>
      </c>
    </row>
    <row r="101" spans="1:27" x14ac:dyDescent="0.3">
      <c r="A101" t="s">
        <v>90</v>
      </c>
      <c r="B101" t="s">
        <v>492</v>
      </c>
      <c r="C101"/>
      <c r="D101" t="s">
        <v>90</v>
      </c>
      <c r="E101"/>
      <c r="F101"/>
      <c r="G101">
        <v>2.65</v>
      </c>
      <c r="H101">
        <v>1</v>
      </c>
      <c r="I101">
        <v>0</v>
      </c>
      <c r="J101">
        <v>0</v>
      </c>
      <c r="K101">
        <v>0</v>
      </c>
      <c r="L101">
        <v>0</v>
      </c>
      <c r="M101">
        <v>1</v>
      </c>
      <c r="N101">
        <v>0</v>
      </c>
      <c r="O101">
        <v>0</v>
      </c>
      <c r="P101">
        <v>0</v>
      </c>
      <c r="Q101">
        <v>0</v>
      </c>
      <c r="R101">
        <v>0</v>
      </c>
      <c r="S101">
        <v>0</v>
      </c>
      <c r="T101">
        <v>0</v>
      </c>
      <c r="U101">
        <v>0</v>
      </c>
      <c r="V101">
        <v>0</v>
      </c>
      <c r="W101">
        <v>0</v>
      </c>
      <c r="X101">
        <v>0</v>
      </c>
      <c r="Y101">
        <v>2</v>
      </c>
      <c r="Z101">
        <v>0</v>
      </c>
      <c r="AA101" t="b">
        <v>0</v>
      </c>
    </row>
    <row r="102" spans="1:27" x14ac:dyDescent="0.3">
      <c r="A102" t="s">
        <v>90</v>
      </c>
      <c r="B102" t="s">
        <v>90</v>
      </c>
      <c r="C102"/>
      <c r="D102"/>
      <c r="E102"/>
      <c r="F102"/>
      <c r="G102">
        <v>2.65</v>
      </c>
      <c r="H102">
        <v>1</v>
      </c>
      <c r="I102">
        <v>0</v>
      </c>
      <c r="J102">
        <v>0</v>
      </c>
      <c r="K102">
        <v>0</v>
      </c>
      <c r="L102">
        <v>0</v>
      </c>
      <c r="M102">
        <v>1</v>
      </c>
      <c r="N102">
        <v>0</v>
      </c>
      <c r="O102">
        <v>0</v>
      </c>
      <c r="P102">
        <v>0</v>
      </c>
      <c r="Q102">
        <v>0</v>
      </c>
      <c r="R102">
        <v>0</v>
      </c>
      <c r="S102">
        <v>0</v>
      </c>
      <c r="T102">
        <v>0</v>
      </c>
      <c r="U102">
        <v>0</v>
      </c>
      <c r="V102">
        <v>0</v>
      </c>
      <c r="W102">
        <v>0</v>
      </c>
      <c r="X102">
        <v>0</v>
      </c>
      <c r="Y102">
        <v>2</v>
      </c>
      <c r="Z102">
        <v>0</v>
      </c>
      <c r="AA102" t="b">
        <v>0</v>
      </c>
    </row>
    <row r="103" spans="1:27" x14ac:dyDescent="0.3">
      <c r="A103" t="s">
        <v>91</v>
      </c>
      <c r="B103" t="s">
        <v>91</v>
      </c>
      <c r="C103"/>
      <c r="D103"/>
      <c r="E103"/>
      <c r="F103"/>
      <c r="G103">
        <v>1.7625</v>
      </c>
      <c r="H103">
        <v>1</v>
      </c>
      <c r="I103">
        <v>0</v>
      </c>
      <c r="J103">
        <v>1</v>
      </c>
      <c r="K103">
        <v>0</v>
      </c>
      <c r="L103">
        <v>0</v>
      </c>
      <c r="M103">
        <v>1</v>
      </c>
      <c r="N103">
        <v>0</v>
      </c>
      <c r="O103">
        <v>0</v>
      </c>
      <c r="P103">
        <v>0</v>
      </c>
      <c r="Q103">
        <v>0</v>
      </c>
      <c r="R103">
        <v>0</v>
      </c>
      <c r="S103">
        <v>0</v>
      </c>
      <c r="T103">
        <v>1</v>
      </c>
      <c r="U103">
        <v>0</v>
      </c>
      <c r="V103">
        <v>0</v>
      </c>
      <c r="W103">
        <v>0</v>
      </c>
      <c r="X103">
        <v>0</v>
      </c>
      <c r="Y103">
        <v>3</v>
      </c>
      <c r="Z103">
        <v>1</v>
      </c>
      <c r="AA103" t="b">
        <v>0</v>
      </c>
    </row>
    <row r="104" spans="1:27" s="2" customFormat="1" x14ac:dyDescent="0.3">
      <c r="A104" s="3" t="s">
        <v>91</v>
      </c>
      <c r="B104" s="3" t="s">
        <v>488</v>
      </c>
      <c r="C104" s="3"/>
      <c r="D104" s="3" t="s">
        <v>91</v>
      </c>
      <c r="E104" s="3"/>
      <c r="F104" s="3"/>
      <c r="G104" s="3">
        <v>1.7625</v>
      </c>
      <c r="H104" s="3">
        <v>1</v>
      </c>
      <c r="I104" s="3">
        <v>0</v>
      </c>
      <c r="J104" s="3">
        <v>1</v>
      </c>
      <c r="K104" s="3">
        <v>0</v>
      </c>
      <c r="L104" s="3">
        <v>0</v>
      </c>
      <c r="M104" s="3">
        <v>1</v>
      </c>
      <c r="N104" s="3">
        <v>0</v>
      </c>
      <c r="O104" s="3">
        <v>0</v>
      </c>
      <c r="P104" s="3">
        <v>0</v>
      </c>
      <c r="Q104" s="3">
        <v>0</v>
      </c>
      <c r="R104" s="3">
        <v>0</v>
      </c>
      <c r="S104" s="3">
        <v>0</v>
      </c>
      <c r="T104" s="3">
        <v>1</v>
      </c>
      <c r="U104" s="3">
        <v>0</v>
      </c>
      <c r="V104" s="3">
        <v>0</v>
      </c>
      <c r="W104" s="3">
        <v>0</v>
      </c>
      <c r="X104" s="3">
        <v>0</v>
      </c>
      <c r="Y104" s="3">
        <v>3</v>
      </c>
      <c r="Z104" s="3">
        <v>1</v>
      </c>
      <c r="AA104" s="3" t="b">
        <v>0</v>
      </c>
    </row>
    <row r="105" spans="1:27" s="2" customFormat="1" x14ac:dyDescent="0.3">
      <c r="A105" s="3" t="s">
        <v>332</v>
      </c>
      <c r="B105" s="3" t="s">
        <v>471</v>
      </c>
      <c r="C105" s="3"/>
      <c r="D105" s="3" t="s">
        <v>332</v>
      </c>
      <c r="E105" s="3" t="s">
        <v>332</v>
      </c>
      <c r="F105" s="3"/>
      <c r="G105" s="3">
        <v>2.58</v>
      </c>
      <c r="H105" s="3">
        <v>1</v>
      </c>
      <c r="I105" s="3">
        <v>0</v>
      </c>
      <c r="J105" s="3">
        <v>1</v>
      </c>
      <c r="K105" s="3">
        <v>1</v>
      </c>
      <c r="L105" s="3">
        <v>0</v>
      </c>
      <c r="M105" s="3">
        <v>1</v>
      </c>
      <c r="N105" s="3">
        <v>0</v>
      </c>
      <c r="O105" s="3">
        <v>0</v>
      </c>
      <c r="P105" s="3">
        <v>1</v>
      </c>
      <c r="Q105" s="3">
        <v>0</v>
      </c>
      <c r="R105" s="3">
        <v>0</v>
      </c>
      <c r="S105" s="3">
        <v>0</v>
      </c>
      <c r="T105" s="3">
        <v>0</v>
      </c>
      <c r="U105" s="3">
        <v>0</v>
      </c>
      <c r="V105" s="3">
        <v>1</v>
      </c>
      <c r="W105" s="3">
        <v>0</v>
      </c>
      <c r="X105" s="3">
        <v>1</v>
      </c>
      <c r="Y105" s="3">
        <v>5</v>
      </c>
      <c r="Z105" s="3">
        <v>2</v>
      </c>
      <c r="AA105" s="3" t="b">
        <v>0</v>
      </c>
    </row>
    <row r="106" spans="1:27" x14ac:dyDescent="0.3">
      <c r="A106" t="s">
        <v>333</v>
      </c>
      <c r="B106" t="s">
        <v>391</v>
      </c>
      <c r="C106"/>
      <c r="D106" t="s">
        <v>333</v>
      </c>
      <c r="E106" t="s">
        <v>333</v>
      </c>
      <c r="F106"/>
      <c r="G106">
        <v>2.3642799999999999</v>
      </c>
      <c r="H106">
        <v>1</v>
      </c>
      <c r="I106">
        <v>1</v>
      </c>
      <c r="J106">
        <v>0</v>
      </c>
      <c r="K106">
        <v>1</v>
      </c>
      <c r="L106">
        <v>0</v>
      </c>
      <c r="M106">
        <v>1</v>
      </c>
      <c r="N106">
        <v>0</v>
      </c>
      <c r="O106">
        <v>0</v>
      </c>
      <c r="P106">
        <v>1</v>
      </c>
      <c r="Q106">
        <v>0</v>
      </c>
      <c r="R106">
        <v>0</v>
      </c>
      <c r="S106">
        <v>0</v>
      </c>
      <c r="T106">
        <v>0</v>
      </c>
      <c r="U106">
        <v>0</v>
      </c>
      <c r="V106">
        <v>1</v>
      </c>
      <c r="W106">
        <v>0</v>
      </c>
      <c r="X106">
        <v>1</v>
      </c>
      <c r="Y106">
        <v>5</v>
      </c>
      <c r="Z106">
        <v>2</v>
      </c>
      <c r="AA106" t="b">
        <v>0</v>
      </c>
    </row>
    <row r="107" spans="1:27" x14ac:dyDescent="0.3">
      <c r="A107" t="s">
        <v>92</v>
      </c>
      <c r="B107" t="s">
        <v>392</v>
      </c>
      <c r="C107"/>
      <c r="D107" t="s">
        <v>92</v>
      </c>
      <c r="E107"/>
      <c r="F107"/>
      <c r="G107">
        <v>3.8</v>
      </c>
      <c r="H107">
        <v>1</v>
      </c>
      <c r="I107">
        <v>0</v>
      </c>
      <c r="J107">
        <v>0</v>
      </c>
      <c r="K107">
        <v>1</v>
      </c>
      <c r="L107">
        <v>0</v>
      </c>
      <c r="M107">
        <v>0</v>
      </c>
      <c r="N107">
        <v>0</v>
      </c>
      <c r="O107">
        <v>0</v>
      </c>
      <c r="P107">
        <v>0</v>
      </c>
      <c r="Q107">
        <v>0</v>
      </c>
      <c r="R107">
        <v>0</v>
      </c>
      <c r="S107">
        <v>1</v>
      </c>
      <c r="T107">
        <v>0</v>
      </c>
      <c r="U107">
        <v>0</v>
      </c>
      <c r="V107">
        <v>0</v>
      </c>
      <c r="W107">
        <v>0</v>
      </c>
      <c r="X107">
        <v>1</v>
      </c>
      <c r="Y107">
        <v>2</v>
      </c>
      <c r="Z107">
        <v>2</v>
      </c>
      <c r="AA107" t="b">
        <v>0</v>
      </c>
    </row>
    <row r="108" spans="1:27" x14ac:dyDescent="0.3">
      <c r="A108" t="s">
        <v>93</v>
      </c>
      <c r="B108" t="s">
        <v>93</v>
      </c>
      <c r="C108"/>
      <c r="D108"/>
      <c r="E108"/>
      <c r="F108"/>
      <c r="G108" t="s">
        <v>321</v>
      </c>
      <c r="H108">
        <v>0</v>
      </c>
      <c r="I108">
        <v>0</v>
      </c>
      <c r="J108">
        <v>1</v>
      </c>
      <c r="K108">
        <v>1</v>
      </c>
      <c r="L108">
        <v>0</v>
      </c>
      <c r="M108">
        <v>0</v>
      </c>
      <c r="N108">
        <v>0</v>
      </c>
      <c r="O108">
        <v>0</v>
      </c>
      <c r="P108">
        <v>0</v>
      </c>
      <c r="Q108">
        <v>0</v>
      </c>
      <c r="R108">
        <v>0</v>
      </c>
      <c r="S108">
        <v>0</v>
      </c>
      <c r="T108">
        <v>0</v>
      </c>
      <c r="U108">
        <v>0</v>
      </c>
      <c r="V108">
        <v>0</v>
      </c>
      <c r="W108">
        <v>1</v>
      </c>
      <c r="X108">
        <v>1</v>
      </c>
      <c r="Y108">
        <v>2</v>
      </c>
      <c r="Z108">
        <v>2</v>
      </c>
      <c r="AA108" t="b">
        <v>0</v>
      </c>
    </row>
    <row r="109" spans="1:27" x14ac:dyDescent="0.3">
      <c r="A109" t="s">
        <v>94</v>
      </c>
      <c r="B109" t="s">
        <v>94</v>
      </c>
      <c r="C109"/>
      <c r="D109"/>
      <c r="E109"/>
      <c r="F109"/>
      <c r="G109">
        <v>7.2811111110000004</v>
      </c>
      <c r="H109">
        <v>1</v>
      </c>
      <c r="I109">
        <v>0</v>
      </c>
      <c r="J109">
        <v>1</v>
      </c>
      <c r="K109">
        <v>1</v>
      </c>
      <c r="L109">
        <v>1</v>
      </c>
      <c r="M109">
        <v>1</v>
      </c>
      <c r="N109">
        <v>0</v>
      </c>
      <c r="O109">
        <v>0</v>
      </c>
      <c r="P109">
        <v>0</v>
      </c>
      <c r="Q109">
        <v>0</v>
      </c>
      <c r="R109">
        <v>0</v>
      </c>
      <c r="S109">
        <v>0</v>
      </c>
      <c r="T109">
        <v>0</v>
      </c>
      <c r="U109">
        <v>0</v>
      </c>
      <c r="V109">
        <v>0</v>
      </c>
      <c r="W109">
        <v>1</v>
      </c>
      <c r="X109">
        <v>1</v>
      </c>
      <c r="Y109">
        <v>5</v>
      </c>
      <c r="Z109">
        <v>2</v>
      </c>
      <c r="AA109" t="b">
        <v>1</v>
      </c>
    </row>
    <row r="110" spans="1:27" x14ac:dyDescent="0.3">
      <c r="A110" t="s">
        <v>95</v>
      </c>
      <c r="B110" t="s">
        <v>95</v>
      </c>
      <c r="C110"/>
      <c r="D110"/>
      <c r="E110"/>
      <c r="F110"/>
      <c r="G110">
        <v>7.84375</v>
      </c>
      <c r="H110">
        <v>1</v>
      </c>
      <c r="I110">
        <v>0</v>
      </c>
      <c r="J110">
        <v>1</v>
      </c>
      <c r="K110">
        <v>1</v>
      </c>
      <c r="L110">
        <v>1</v>
      </c>
      <c r="M110">
        <v>0</v>
      </c>
      <c r="N110">
        <v>0</v>
      </c>
      <c r="O110">
        <v>0</v>
      </c>
      <c r="P110">
        <v>0</v>
      </c>
      <c r="Q110">
        <v>0</v>
      </c>
      <c r="R110">
        <v>0</v>
      </c>
      <c r="S110">
        <v>0</v>
      </c>
      <c r="T110">
        <v>0</v>
      </c>
      <c r="U110">
        <v>0</v>
      </c>
      <c r="V110">
        <v>0</v>
      </c>
      <c r="W110">
        <v>1</v>
      </c>
      <c r="X110">
        <v>1</v>
      </c>
      <c r="Y110">
        <v>4</v>
      </c>
      <c r="Z110">
        <v>2</v>
      </c>
      <c r="AA110" t="b">
        <v>1</v>
      </c>
    </row>
    <row r="111" spans="1:27" x14ac:dyDescent="0.3">
      <c r="A111" t="s">
        <v>96</v>
      </c>
      <c r="B111" t="s">
        <v>96</v>
      </c>
      <c r="C111"/>
      <c r="D111"/>
      <c r="E111"/>
      <c r="F111"/>
      <c r="G111">
        <v>9.4312500000000004</v>
      </c>
      <c r="H111">
        <v>1</v>
      </c>
      <c r="I111">
        <v>0</v>
      </c>
      <c r="J111">
        <v>1</v>
      </c>
      <c r="K111">
        <v>1</v>
      </c>
      <c r="L111">
        <v>1</v>
      </c>
      <c r="M111">
        <v>1</v>
      </c>
      <c r="N111">
        <v>0</v>
      </c>
      <c r="O111">
        <v>0</v>
      </c>
      <c r="P111">
        <v>0</v>
      </c>
      <c r="Q111">
        <v>0</v>
      </c>
      <c r="R111">
        <v>0</v>
      </c>
      <c r="S111">
        <v>0</v>
      </c>
      <c r="T111">
        <v>0</v>
      </c>
      <c r="U111">
        <v>0</v>
      </c>
      <c r="V111">
        <v>0</v>
      </c>
      <c r="W111">
        <v>0</v>
      </c>
      <c r="X111">
        <v>1</v>
      </c>
      <c r="Y111">
        <v>5</v>
      </c>
      <c r="Z111">
        <v>1</v>
      </c>
      <c r="AA111" t="b">
        <v>1</v>
      </c>
    </row>
    <row r="112" spans="1:27" x14ac:dyDescent="0.3">
      <c r="A112" t="s">
        <v>97</v>
      </c>
      <c r="B112" t="s">
        <v>97</v>
      </c>
      <c r="C112"/>
      <c r="D112"/>
      <c r="E112"/>
      <c r="F112"/>
      <c r="G112">
        <v>7.8573214289999997</v>
      </c>
      <c r="H112">
        <v>1</v>
      </c>
      <c r="I112">
        <v>0</v>
      </c>
      <c r="J112">
        <v>0</v>
      </c>
      <c r="K112">
        <v>0</v>
      </c>
      <c r="L112">
        <v>0</v>
      </c>
      <c r="M112">
        <v>1</v>
      </c>
      <c r="N112">
        <v>0</v>
      </c>
      <c r="O112">
        <v>0</v>
      </c>
      <c r="P112">
        <v>0</v>
      </c>
      <c r="Q112">
        <v>0</v>
      </c>
      <c r="R112">
        <v>0</v>
      </c>
      <c r="S112">
        <v>0</v>
      </c>
      <c r="T112">
        <v>0</v>
      </c>
      <c r="U112">
        <v>0</v>
      </c>
      <c r="V112">
        <v>0</v>
      </c>
      <c r="W112">
        <v>0</v>
      </c>
      <c r="X112">
        <v>0</v>
      </c>
      <c r="Y112">
        <v>2</v>
      </c>
      <c r="Z112">
        <v>0</v>
      </c>
      <c r="AA112" t="b">
        <v>1</v>
      </c>
    </row>
    <row r="113" spans="1:27" x14ac:dyDescent="0.3">
      <c r="A113" t="s">
        <v>98</v>
      </c>
      <c r="B113" t="s">
        <v>98</v>
      </c>
      <c r="C113"/>
      <c r="D113"/>
      <c r="E113"/>
      <c r="F113"/>
      <c r="G113">
        <v>2.6166666670000001</v>
      </c>
      <c r="H113">
        <v>1</v>
      </c>
      <c r="I113">
        <v>0</v>
      </c>
      <c r="J113">
        <v>1</v>
      </c>
      <c r="K113">
        <v>1</v>
      </c>
      <c r="L113">
        <v>1</v>
      </c>
      <c r="M113">
        <v>1</v>
      </c>
      <c r="N113">
        <v>0</v>
      </c>
      <c r="O113">
        <v>0</v>
      </c>
      <c r="P113">
        <v>0</v>
      </c>
      <c r="Q113">
        <v>0</v>
      </c>
      <c r="R113">
        <v>0</v>
      </c>
      <c r="S113">
        <v>0</v>
      </c>
      <c r="T113">
        <v>0</v>
      </c>
      <c r="U113">
        <v>0</v>
      </c>
      <c r="V113">
        <v>0</v>
      </c>
      <c r="W113">
        <v>0</v>
      </c>
      <c r="X113">
        <v>1</v>
      </c>
      <c r="Y113">
        <v>5</v>
      </c>
      <c r="Z113">
        <v>1</v>
      </c>
      <c r="AA113" t="b">
        <v>0</v>
      </c>
    </row>
    <row r="114" spans="1:27" x14ac:dyDescent="0.3">
      <c r="A114" t="s">
        <v>99</v>
      </c>
      <c r="B114" t="s">
        <v>99</v>
      </c>
      <c r="C114"/>
      <c r="D114"/>
      <c r="E114"/>
      <c r="F114"/>
      <c r="G114">
        <v>2.1375000000000002</v>
      </c>
      <c r="H114">
        <v>1</v>
      </c>
      <c r="I114">
        <v>0</v>
      </c>
      <c r="J114">
        <v>1</v>
      </c>
      <c r="K114">
        <v>0</v>
      </c>
      <c r="L114">
        <v>0</v>
      </c>
      <c r="M114">
        <v>0</v>
      </c>
      <c r="N114">
        <v>0</v>
      </c>
      <c r="O114">
        <v>0</v>
      </c>
      <c r="P114">
        <v>1</v>
      </c>
      <c r="Q114">
        <v>0</v>
      </c>
      <c r="R114">
        <v>0</v>
      </c>
      <c r="S114">
        <v>0</v>
      </c>
      <c r="T114">
        <v>0</v>
      </c>
      <c r="U114">
        <v>0</v>
      </c>
      <c r="V114">
        <v>0</v>
      </c>
      <c r="W114">
        <v>0</v>
      </c>
      <c r="X114">
        <v>1</v>
      </c>
      <c r="Y114">
        <v>3</v>
      </c>
      <c r="Z114">
        <v>1</v>
      </c>
      <c r="AA114" t="b">
        <v>1</v>
      </c>
    </row>
    <row r="115" spans="1:27" x14ac:dyDescent="0.3">
      <c r="A115" t="s">
        <v>100</v>
      </c>
      <c r="B115" t="s">
        <v>100</v>
      </c>
      <c r="C115"/>
      <c r="D115"/>
      <c r="E115"/>
      <c r="F115"/>
      <c r="G115">
        <v>4.8788636370000003</v>
      </c>
      <c r="H115">
        <v>1</v>
      </c>
      <c r="I115">
        <v>0</v>
      </c>
      <c r="J115">
        <v>0</v>
      </c>
      <c r="K115">
        <v>1</v>
      </c>
      <c r="L115">
        <v>0</v>
      </c>
      <c r="M115">
        <v>0</v>
      </c>
      <c r="N115">
        <v>0</v>
      </c>
      <c r="O115">
        <v>0</v>
      </c>
      <c r="P115">
        <v>0</v>
      </c>
      <c r="Q115">
        <v>0</v>
      </c>
      <c r="R115">
        <v>0</v>
      </c>
      <c r="S115">
        <v>0</v>
      </c>
      <c r="T115">
        <v>0</v>
      </c>
      <c r="U115">
        <v>0</v>
      </c>
      <c r="V115">
        <v>0</v>
      </c>
      <c r="W115">
        <v>1</v>
      </c>
      <c r="X115">
        <v>1</v>
      </c>
      <c r="Y115">
        <v>2</v>
      </c>
      <c r="Z115">
        <v>2</v>
      </c>
      <c r="AA115" t="b">
        <v>1</v>
      </c>
    </row>
    <row r="116" spans="1:27" x14ac:dyDescent="0.3">
      <c r="A116" t="s">
        <v>101</v>
      </c>
      <c r="B116" t="s">
        <v>101</v>
      </c>
      <c r="C116"/>
      <c r="D116"/>
      <c r="E116"/>
      <c r="F116"/>
      <c r="G116">
        <v>4.05</v>
      </c>
      <c r="H116">
        <v>1</v>
      </c>
      <c r="I116">
        <v>1</v>
      </c>
      <c r="J116">
        <v>0</v>
      </c>
      <c r="K116">
        <v>1</v>
      </c>
      <c r="L116">
        <v>1</v>
      </c>
      <c r="M116">
        <v>0</v>
      </c>
      <c r="N116">
        <v>0</v>
      </c>
      <c r="O116">
        <v>0</v>
      </c>
      <c r="P116">
        <v>0</v>
      </c>
      <c r="Q116">
        <v>0</v>
      </c>
      <c r="R116">
        <v>0</v>
      </c>
      <c r="S116">
        <v>1</v>
      </c>
      <c r="T116">
        <v>0</v>
      </c>
      <c r="U116">
        <v>0</v>
      </c>
      <c r="V116">
        <v>0</v>
      </c>
      <c r="W116">
        <v>0</v>
      </c>
      <c r="X116">
        <v>1</v>
      </c>
      <c r="Y116">
        <v>4</v>
      </c>
      <c r="Z116">
        <v>2</v>
      </c>
      <c r="AA116" t="b">
        <v>0</v>
      </c>
    </row>
    <row r="117" spans="1:27" x14ac:dyDescent="0.3">
      <c r="A117" t="s">
        <v>102</v>
      </c>
      <c r="B117" t="s">
        <v>102</v>
      </c>
      <c r="C117"/>
      <c r="D117"/>
      <c r="E117"/>
      <c r="F117"/>
      <c r="G117">
        <v>4.71</v>
      </c>
      <c r="H117">
        <v>1</v>
      </c>
      <c r="I117">
        <v>1</v>
      </c>
      <c r="J117">
        <v>1</v>
      </c>
      <c r="K117">
        <v>1</v>
      </c>
      <c r="L117">
        <v>1</v>
      </c>
      <c r="M117">
        <v>1</v>
      </c>
      <c r="N117">
        <v>1</v>
      </c>
      <c r="O117">
        <v>0</v>
      </c>
      <c r="P117">
        <v>0</v>
      </c>
      <c r="Q117">
        <v>0</v>
      </c>
      <c r="R117">
        <v>0</v>
      </c>
      <c r="S117">
        <v>1</v>
      </c>
      <c r="T117">
        <v>0</v>
      </c>
      <c r="U117">
        <v>0</v>
      </c>
      <c r="V117">
        <v>0</v>
      </c>
      <c r="W117">
        <v>0</v>
      </c>
      <c r="X117">
        <v>1</v>
      </c>
      <c r="Y117">
        <v>7</v>
      </c>
      <c r="Z117">
        <v>2</v>
      </c>
      <c r="AA117" t="b">
        <v>0</v>
      </c>
    </row>
    <row r="118" spans="1:27" x14ac:dyDescent="0.3">
      <c r="A118" t="s">
        <v>103</v>
      </c>
      <c r="B118" t="s">
        <v>103</v>
      </c>
      <c r="C118"/>
      <c r="D118"/>
      <c r="E118"/>
      <c r="F118"/>
      <c r="G118">
        <v>4.3187499999999996</v>
      </c>
      <c r="H118">
        <v>1</v>
      </c>
      <c r="I118">
        <v>1</v>
      </c>
      <c r="J118">
        <v>1</v>
      </c>
      <c r="K118">
        <v>1</v>
      </c>
      <c r="L118">
        <v>1</v>
      </c>
      <c r="M118">
        <v>1</v>
      </c>
      <c r="N118">
        <v>1</v>
      </c>
      <c r="O118">
        <v>0</v>
      </c>
      <c r="P118">
        <v>0</v>
      </c>
      <c r="Q118">
        <v>0</v>
      </c>
      <c r="R118">
        <v>0</v>
      </c>
      <c r="S118">
        <v>0</v>
      </c>
      <c r="T118">
        <v>0</v>
      </c>
      <c r="U118">
        <v>0</v>
      </c>
      <c r="V118">
        <v>0</v>
      </c>
      <c r="W118">
        <v>0</v>
      </c>
      <c r="X118">
        <v>1</v>
      </c>
      <c r="Y118">
        <v>7</v>
      </c>
      <c r="Z118">
        <v>1</v>
      </c>
      <c r="AA118" t="b">
        <v>0</v>
      </c>
    </row>
    <row r="119" spans="1:27" x14ac:dyDescent="0.3">
      <c r="A119" t="s">
        <v>104</v>
      </c>
      <c r="B119" t="s">
        <v>104</v>
      </c>
      <c r="C119"/>
      <c r="D119"/>
      <c r="E119"/>
      <c r="F119"/>
      <c r="G119">
        <v>3.5064880949999999</v>
      </c>
      <c r="H119">
        <v>0</v>
      </c>
      <c r="I119">
        <v>0</v>
      </c>
      <c r="J119">
        <v>0</v>
      </c>
      <c r="K119">
        <v>1</v>
      </c>
      <c r="L119">
        <v>0</v>
      </c>
      <c r="M119">
        <v>1</v>
      </c>
      <c r="N119">
        <v>1</v>
      </c>
      <c r="O119">
        <v>0</v>
      </c>
      <c r="P119">
        <v>0</v>
      </c>
      <c r="Q119">
        <v>0</v>
      </c>
      <c r="R119">
        <v>0</v>
      </c>
      <c r="S119">
        <v>0</v>
      </c>
      <c r="T119">
        <v>0</v>
      </c>
      <c r="U119">
        <v>0</v>
      </c>
      <c r="V119">
        <v>0</v>
      </c>
      <c r="W119">
        <v>0</v>
      </c>
      <c r="X119">
        <v>0</v>
      </c>
      <c r="Y119">
        <v>3</v>
      </c>
      <c r="Z119">
        <v>0</v>
      </c>
      <c r="AA119" t="b">
        <v>0</v>
      </c>
    </row>
    <row r="120" spans="1:27" x14ac:dyDescent="0.3">
      <c r="A120" t="s">
        <v>105</v>
      </c>
      <c r="B120" t="s">
        <v>105</v>
      </c>
      <c r="C120"/>
      <c r="D120"/>
      <c r="E120"/>
      <c r="F120"/>
      <c r="G120">
        <v>3.4916666670000001</v>
      </c>
      <c r="H120">
        <v>0</v>
      </c>
      <c r="I120">
        <v>1</v>
      </c>
      <c r="J120">
        <v>0</v>
      </c>
      <c r="K120">
        <v>1</v>
      </c>
      <c r="L120">
        <v>0</v>
      </c>
      <c r="M120">
        <v>0</v>
      </c>
      <c r="N120">
        <v>1</v>
      </c>
      <c r="O120">
        <v>0</v>
      </c>
      <c r="P120">
        <v>0</v>
      </c>
      <c r="Q120">
        <v>0</v>
      </c>
      <c r="R120">
        <v>0</v>
      </c>
      <c r="S120">
        <v>0</v>
      </c>
      <c r="T120">
        <v>0</v>
      </c>
      <c r="U120">
        <v>0</v>
      </c>
      <c r="V120">
        <v>0</v>
      </c>
      <c r="W120">
        <v>1</v>
      </c>
      <c r="X120">
        <v>1</v>
      </c>
      <c r="Y120">
        <v>3</v>
      </c>
      <c r="Z120">
        <v>2</v>
      </c>
      <c r="AA120" t="b">
        <v>0</v>
      </c>
    </row>
    <row r="121" spans="1:27" x14ac:dyDescent="0.3">
      <c r="A121" t="s">
        <v>106</v>
      </c>
      <c r="B121" t="s">
        <v>106</v>
      </c>
      <c r="C121"/>
      <c r="D121"/>
      <c r="E121"/>
      <c r="F121"/>
      <c r="G121">
        <v>3.743262987</v>
      </c>
      <c r="H121">
        <v>1</v>
      </c>
      <c r="I121">
        <v>0</v>
      </c>
      <c r="J121">
        <v>1</v>
      </c>
      <c r="K121">
        <v>1</v>
      </c>
      <c r="L121">
        <v>0</v>
      </c>
      <c r="M121">
        <v>0</v>
      </c>
      <c r="N121">
        <v>1</v>
      </c>
      <c r="O121">
        <v>0</v>
      </c>
      <c r="P121">
        <v>0</v>
      </c>
      <c r="Q121">
        <v>0</v>
      </c>
      <c r="R121">
        <v>0</v>
      </c>
      <c r="S121">
        <v>0</v>
      </c>
      <c r="T121">
        <v>0</v>
      </c>
      <c r="U121">
        <v>0</v>
      </c>
      <c r="V121">
        <v>0</v>
      </c>
      <c r="W121">
        <v>0</v>
      </c>
      <c r="X121">
        <v>0</v>
      </c>
      <c r="Y121">
        <v>4</v>
      </c>
      <c r="Z121">
        <v>0</v>
      </c>
      <c r="AA121" t="b">
        <v>0</v>
      </c>
    </row>
    <row r="122" spans="1:27" x14ac:dyDescent="0.3">
      <c r="A122" t="s">
        <v>107</v>
      </c>
      <c r="B122" t="s">
        <v>107</v>
      </c>
      <c r="C122"/>
      <c r="D122"/>
      <c r="E122"/>
      <c r="F122"/>
      <c r="G122">
        <v>3.7672619049999998</v>
      </c>
      <c r="H122">
        <v>0</v>
      </c>
      <c r="I122">
        <v>0</v>
      </c>
      <c r="J122">
        <v>1</v>
      </c>
      <c r="K122">
        <v>1</v>
      </c>
      <c r="L122">
        <v>0</v>
      </c>
      <c r="M122">
        <v>0</v>
      </c>
      <c r="N122">
        <v>1</v>
      </c>
      <c r="O122">
        <v>0</v>
      </c>
      <c r="P122">
        <v>0</v>
      </c>
      <c r="Q122">
        <v>0</v>
      </c>
      <c r="R122">
        <v>0</v>
      </c>
      <c r="S122">
        <v>0</v>
      </c>
      <c r="T122">
        <v>0</v>
      </c>
      <c r="U122">
        <v>0</v>
      </c>
      <c r="V122">
        <v>0</v>
      </c>
      <c r="W122">
        <v>0</v>
      </c>
      <c r="X122">
        <v>1</v>
      </c>
      <c r="Y122">
        <v>3</v>
      </c>
      <c r="Z122">
        <v>1</v>
      </c>
      <c r="AA122" t="b">
        <v>0</v>
      </c>
    </row>
    <row r="123" spans="1:27" x14ac:dyDescent="0.3">
      <c r="A123" t="s">
        <v>108</v>
      </c>
      <c r="B123" t="s">
        <v>108</v>
      </c>
      <c r="C123"/>
      <c r="D123"/>
      <c r="E123"/>
      <c r="F123"/>
      <c r="G123">
        <v>2.872222222</v>
      </c>
      <c r="H123">
        <v>1</v>
      </c>
      <c r="I123">
        <v>1</v>
      </c>
      <c r="J123">
        <v>0</v>
      </c>
      <c r="K123">
        <v>0</v>
      </c>
      <c r="L123">
        <v>0</v>
      </c>
      <c r="M123">
        <v>0</v>
      </c>
      <c r="N123">
        <v>1</v>
      </c>
      <c r="O123">
        <v>0</v>
      </c>
      <c r="P123">
        <v>0</v>
      </c>
      <c r="Q123">
        <v>0</v>
      </c>
      <c r="R123">
        <v>0</v>
      </c>
      <c r="S123">
        <v>0</v>
      </c>
      <c r="T123">
        <v>0</v>
      </c>
      <c r="U123">
        <v>0</v>
      </c>
      <c r="V123">
        <v>0</v>
      </c>
      <c r="W123">
        <v>1</v>
      </c>
      <c r="X123">
        <v>1</v>
      </c>
      <c r="Y123">
        <v>3</v>
      </c>
      <c r="Z123">
        <v>2</v>
      </c>
      <c r="AA123" t="b">
        <v>0</v>
      </c>
    </row>
    <row r="124" spans="1:27" x14ac:dyDescent="0.3">
      <c r="A124" t="s">
        <v>109</v>
      </c>
      <c r="B124" t="s">
        <v>109</v>
      </c>
      <c r="C124"/>
      <c r="D124"/>
      <c r="E124"/>
      <c r="F124"/>
      <c r="G124">
        <v>3.7410714289999998</v>
      </c>
      <c r="H124">
        <v>0</v>
      </c>
      <c r="I124">
        <v>0</v>
      </c>
      <c r="J124">
        <v>1</v>
      </c>
      <c r="K124">
        <v>1</v>
      </c>
      <c r="L124">
        <v>1</v>
      </c>
      <c r="M124">
        <v>0</v>
      </c>
      <c r="N124">
        <v>1</v>
      </c>
      <c r="O124">
        <v>0</v>
      </c>
      <c r="P124">
        <v>0</v>
      </c>
      <c r="Q124">
        <v>0</v>
      </c>
      <c r="R124">
        <v>0</v>
      </c>
      <c r="S124">
        <v>0</v>
      </c>
      <c r="T124">
        <v>0</v>
      </c>
      <c r="U124">
        <v>0</v>
      </c>
      <c r="V124">
        <v>0</v>
      </c>
      <c r="W124">
        <v>0</v>
      </c>
      <c r="X124">
        <v>1</v>
      </c>
      <c r="Y124">
        <v>4</v>
      </c>
      <c r="Z124">
        <v>1</v>
      </c>
      <c r="AA124" t="b">
        <v>0</v>
      </c>
    </row>
    <row r="125" spans="1:27" x14ac:dyDescent="0.3">
      <c r="A125" t="s">
        <v>110</v>
      </c>
      <c r="B125" t="s">
        <v>110</v>
      </c>
      <c r="C125"/>
      <c r="D125"/>
      <c r="E125"/>
      <c r="F125"/>
      <c r="G125">
        <v>3.0666666669999998</v>
      </c>
      <c r="H125">
        <v>0</v>
      </c>
      <c r="I125">
        <v>0</v>
      </c>
      <c r="J125">
        <v>0</v>
      </c>
      <c r="K125">
        <v>1</v>
      </c>
      <c r="L125">
        <v>0</v>
      </c>
      <c r="M125">
        <v>0</v>
      </c>
      <c r="N125">
        <v>1</v>
      </c>
      <c r="O125">
        <v>0</v>
      </c>
      <c r="P125">
        <v>0</v>
      </c>
      <c r="Q125">
        <v>0</v>
      </c>
      <c r="R125">
        <v>0</v>
      </c>
      <c r="S125">
        <v>0</v>
      </c>
      <c r="T125">
        <v>0</v>
      </c>
      <c r="U125">
        <v>0</v>
      </c>
      <c r="V125">
        <v>0</v>
      </c>
      <c r="W125">
        <v>0</v>
      </c>
      <c r="X125">
        <v>1</v>
      </c>
      <c r="Y125">
        <v>2</v>
      </c>
      <c r="Z125">
        <v>1</v>
      </c>
      <c r="AA125" t="b">
        <v>0</v>
      </c>
    </row>
    <row r="126" spans="1:27" x14ac:dyDescent="0.3">
      <c r="A126" t="s">
        <v>111</v>
      </c>
      <c r="B126" t="s">
        <v>111</v>
      </c>
      <c r="C126"/>
      <c r="D126"/>
      <c r="E126"/>
      <c r="F126"/>
      <c r="G126">
        <v>3.2833333329999999</v>
      </c>
      <c r="H126">
        <v>1</v>
      </c>
      <c r="I126">
        <v>0</v>
      </c>
      <c r="J126">
        <v>1</v>
      </c>
      <c r="K126">
        <v>1</v>
      </c>
      <c r="L126">
        <v>0</v>
      </c>
      <c r="M126">
        <v>0</v>
      </c>
      <c r="N126">
        <v>1</v>
      </c>
      <c r="O126">
        <v>0</v>
      </c>
      <c r="P126">
        <v>0</v>
      </c>
      <c r="Q126">
        <v>0</v>
      </c>
      <c r="R126">
        <v>0</v>
      </c>
      <c r="S126">
        <v>0</v>
      </c>
      <c r="T126">
        <v>0</v>
      </c>
      <c r="U126">
        <v>0</v>
      </c>
      <c r="V126">
        <v>0</v>
      </c>
      <c r="W126">
        <v>1</v>
      </c>
      <c r="X126">
        <v>1</v>
      </c>
      <c r="Y126">
        <v>4</v>
      </c>
      <c r="Z126">
        <v>2</v>
      </c>
      <c r="AA126" t="b">
        <v>0</v>
      </c>
    </row>
    <row r="127" spans="1:27" x14ac:dyDescent="0.3">
      <c r="A127" t="s">
        <v>112</v>
      </c>
      <c r="B127" t="s">
        <v>112</v>
      </c>
      <c r="C127"/>
      <c r="D127"/>
      <c r="E127"/>
      <c r="F127"/>
      <c r="G127">
        <v>3.0625</v>
      </c>
      <c r="H127">
        <v>1</v>
      </c>
      <c r="I127">
        <v>1</v>
      </c>
      <c r="J127">
        <v>1</v>
      </c>
      <c r="K127">
        <v>1</v>
      </c>
      <c r="L127">
        <v>0</v>
      </c>
      <c r="M127">
        <v>0</v>
      </c>
      <c r="N127">
        <v>1</v>
      </c>
      <c r="O127">
        <v>0</v>
      </c>
      <c r="P127">
        <v>0</v>
      </c>
      <c r="Q127">
        <v>0</v>
      </c>
      <c r="R127">
        <v>0</v>
      </c>
      <c r="S127">
        <v>0</v>
      </c>
      <c r="T127">
        <v>0</v>
      </c>
      <c r="U127">
        <v>0</v>
      </c>
      <c r="V127">
        <v>0</v>
      </c>
      <c r="W127">
        <v>0</v>
      </c>
      <c r="X127">
        <v>0</v>
      </c>
      <c r="Y127">
        <v>5</v>
      </c>
      <c r="Z127">
        <v>0</v>
      </c>
      <c r="AA127" t="b">
        <v>0</v>
      </c>
    </row>
    <row r="128" spans="1:27" x14ac:dyDescent="0.3">
      <c r="A128" t="s">
        <v>113</v>
      </c>
      <c r="B128" t="s">
        <v>113</v>
      </c>
      <c r="C128"/>
      <c r="D128"/>
      <c r="E128"/>
      <c r="F128"/>
      <c r="G128">
        <v>3.6749999999999998</v>
      </c>
      <c r="H128">
        <v>0</v>
      </c>
      <c r="I128">
        <v>1</v>
      </c>
      <c r="J128">
        <v>0</v>
      </c>
      <c r="K128">
        <v>1</v>
      </c>
      <c r="L128">
        <v>0</v>
      </c>
      <c r="M128">
        <v>0</v>
      </c>
      <c r="N128">
        <v>1</v>
      </c>
      <c r="O128">
        <v>0</v>
      </c>
      <c r="P128">
        <v>0</v>
      </c>
      <c r="Q128">
        <v>0</v>
      </c>
      <c r="R128">
        <v>0</v>
      </c>
      <c r="S128">
        <v>0</v>
      </c>
      <c r="T128">
        <v>0</v>
      </c>
      <c r="U128">
        <v>0</v>
      </c>
      <c r="V128">
        <v>0</v>
      </c>
      <c r="W128">
        <v>0</v>
      </c>
      <c r="X128">
        <v>1</v>
      </c>
      <c r="Y128">
        <v>3</v>
      </c>
      <c r="Z128">
        <v>1</v>
      </c>
      <c r="AA128" t="b">
        <v>0</v>
      </c>
    </row>
    <row r="129" spans="1:27" x14ac:dyDescent="0.3">
      <c r="A129" t="s">
        <v>114</v>
      </c>
      <c r="B129" t="s">
        <v>114</v>
      </c>
      <c r="C129"/>
      <c r="D129"/>
      <c r="E129"/>
      <c r="F129"/>
      <c r="G129">
        <v>3.9</v>
      </c>
      <c r="H129">
        <v>1</v>
      </c>
      <c r="I129">
        <v>0</v>
      </c>
      <c r="J129">
        <v>1</v>
      </c>
      <c r="K129">
        <v>1</v>
      </c>
      <c r="L129">
        <v>0</v>
      </c>
      <c r="M129">
        <v>0</v>
      </c>
      <c r="N129">
        <v>1</v>
      </c>
      <c r="O129">
        <v>0</v>
      </c>
      <c r="P129">
        <v>0</v>
      </c>
      <c r="Q129">
        <v>0</v>
      </c>
      <c r="R129">
        <v>0</v>
      </c>
      <c r="S129">
        <v>0</v>
      </c>
      <c r="T129">
        <v>0</v>
      </c>
      <c r="U129">
        <v>0</v>
      </c>
      <c r="V129">
        <v>0</v>
      </c>
      <c r="W129">
        <v>0</v>
      </c>
      <c r="X129">
        <v>1</v>
      </c>
      <c r="Y129">
        <v>4</v>
      </c>
      <c r="Z129">
        <v>1</v>
      </c>
      <c r="AA129" t="b">
        <v>0</v>
      </c>
    </row>
    <row r="130" spans="1:27" x14ac:dyDescent="0.3">
      <c r="A130" t="s">
        <v>115</v>
      </c>
      <c r="B130" t="s">
        <v>115</v>
      </c>
      <c r="C130"/>
      <c r="D130"/>
      <c r="E130"/>
      <c r="F130"/>
      <c r="G130">
        <v>3.8816666670000002</v>
      </c>
      <c r="H130">
        <v>0</v>
      </c>
      <c r="I130">
        <v>0</v>
      </c>
      <c r="J130">
        <v>1</v>
      </c>
      <c r="K130">
        <v>1</v>
      </c>
      <c r="L130">
        <v>1</v>
      </c>
      <c r="M130">
        <v>0</v>
      </c>
      <c r="N130">
        <v>1</v>
      </c>
      <c r="O130">
        <v>0</v>
      </c>
      <c r="P130">
        <v>0</v>
      </c>
      <c r="Q130">
        <v>0</v>
      </c>
      <c r="R130">
        <v>0</v>
      </c>
      <c r="S130">
        <v>0</v>
      </c>
      <c r="T130">
        <v>0</v>
      </c>
      <c r="U130">
        <v>0</v>
      </c>
      <c r="V130">
        <v>0</v>
      </c>
      <c r="W130">
        <v>0</v>
      </c>
      <c r="X130">
        <v>0</v>
      </c>
      <c r="Y130">
        <v>4</v>
      </c>
      <c r="Z130">
        <v>0</v>
      </c>
      <c r="AA130" t="b">
        <v>0</v>
      </c>
    </row>
    <row r="131" spans="1:27" x14ac:dyDescent="0.3">
      <c r="A131" t="s">
        <v>116</v>
      </c>
      <c r="B131" t="s">
        <v>116</v>
      </c>
      <c r="C131"/>
      <c r="D131"/>
      <c r="E131"/>
      <c r="F131"/>
      <c r="G131">
        <v>4.0999999999999996</v>
      </c>
      <c r="H131">
        <v>1</v>
      </c>
      <c r="I131">
        <v>0</v>
      </c>
      <c r="J131">
        <v>1</v>
      </c>
      <c r="K131">
        <v>0</v>
      </c>
      <c r="L131">
        <v>1</v>
      </c>
      <c r="M131">
        <v>0</v>
      </c>
      <c r="N131">
        <v>0</v>
      </c>
      <c r="O131">
        <v>1</v>
      </c>
      <c r="P131">
        <v>0</v>
      </c>
      <c r="Q131">
        <v>0</v>
      </c>
      <c r="R131">
        <v>0</v>
      </c>
      <c r="S131">
        <v>0</v>
      </c>
      <c r="T131">
        <v>0</v>
      </c>
      <c r="U131">
        <v>0</v>
      </c>
      <c r="V131">
        <v>0</v>
      </c>
      <c r="W131">
        <v>0</v>
      </c>
      <c r="X131">
        <v>0</v>
      </c>
      <c r="Y131">
        <v>4</v>
      </c>
      <c r="Z131">
        <v>0</v>
      </c>
      <c r="AA131" t="b">
        <v>0</v>
      </c>
    </row>
    <row r="132" spans="1:27" x14ac:dyDescent="0.3">
      <c r="A132" t="s">
        <v>117</v>
      </c>
      <c r="B132" t="s">
        <v>117</v>
      </c>
      <c r="C132"/>
      <c r="D132"/>
      <c r="E132"/>
      <c r="F132"/>
      <c r="G132">
        <v>3.5249999999999999</v>
      </c>
      <c r="H132">
        <v>0</v>
      </c>
      <c r="I132">
        <v>0</v>
      </c>
      <c r="J132">
        <v>1</v>
      </c>
      <c r="K132">
        <v>0</v>
      </c>
      <c r="L132">
        <v>0</v>
      </c>
      <c r="M132">
        <v>0</v>
      </c>
      <c r="N132">
        <v>0</v>
      </c>
      <c r="O132">
        <v>1</v>
      </c>
      <c r="P132">
        <v>0</v>
      </c>
      <c r="Q132">
        <v>0</v>
      </c>
      <c r="R132">
        <v>0</v>
      </c>
      <c r="S132">
        <v>0</v>
      </c>
      <c r="T132">
        <v>0</v>
      </c>
      <c r="U132">
        <v>0</v>
      </c>
      <c r="V132">
        <v>0</v>
      </c>
      <c r="W132">
        <v>0</v>
      </c>
      <c r="X132">
        <v>0</v>
      </c>
      <c r="Y132">
        <v>2</v>
      </c>
      <c r="Z132">
        <v>0</v>
      </c>
      <c r="AA132" t="b">
        <v>0</v>
      </c>
    </row>
    <row r="133" spans="1:27" x14ac:dyDescent="0.3">
      <c r="A133" t="s">
        <v>118</v>
      </c>
      <c r="B133" t="s">
        <v>118</v>
      </c>
      <c r="C133"/>
      <c r="D133"/>
      <c r="E133"/>
      <c r="F133"/>
      <c r="G133">
        <v>3.5</v>
      </c>
      <c r="H133">
        <v>0</v>
      </c>
      <c r="I133">
        <v>0</v>
      </c>
      <c r="J133">
        <v>1</v>
      </c>
      <c r="K133">
        <v>0</v>
      </c>
      <c r="L133">
        <v>0</v>
      </c>
      <c r="M133">
        <v>0</v>
      </c>
      <c r="N133">
        <v>0</v>
      </c>
      <c r="O133">
        <v>0</v>
      </c>
      <c r="P133">
        <v>0</v>
      </c>
      <c r="Q133">
        <v>1</v>
      </c>
      <c r="R133">
        <v>0</v>
      </c>
      <c r="S133">
        <v>0</v>
      </c>
      <c r="T133">
        <v>0</v>
      </c>
      <c r="U133">
        <v>0</v>
      </c>
      <c r="V133">
        <v>0</v>
      </c>
      <c r="W133">
        <v>0</v>
      </c>
      <c r="X133">
        <v>0</v>
      </c>
      <c r="Y133">
        <v>2</v>
      </c>
      <c r="Z133">
        <v>0</v>
      </c>
      <c r="AA133" t="b">
        <v>0</v>
      </c>
    </row>
    <row r="134" spans="1:27" x14ac:dyDescent="0.3">
      <c r="A134" t="s">
        <v>119</v>
      </c>
      <c r="B134" t="s">
        <v>119</v>
      </c>
      <c r="C134"/>
      <c r="D134"/>
      <c r="E134"/>
      <c r="F134"/>
      <c r="G134">
        <v>4.55</v>
      </c>
      <c r="H134">
        <v>1</v>
      </c>
      <c r="I134">
        <v>0</v>
      </c>
      <c r="J134">
        <v>0</v>
      </c>
      <c r="K134">
        <v>0</v>
      </c>
      <c r="L134">
        <v>1</v>
      </c>
      <c r="M134">
        <v>1</v>
      </c>
      <c r="N134">
        <v>0</v>
      </c>
      <c r="O134">
        <v>1</v>
      </c>
      <c r="P134">
        <v>1</v>
      </c>
      <c r="Q134">
        <v>0</v>
      </c>
      <c r="R134">
        <v>0</v>
      </c>
      <c r="S134">
        <v>0</v>
      </c>
      <c r="T134">
        <v>0</v>
      </c>
      <c r="U134">
        <v>0</v>
      </c>
      <c r="V134">
        <v>0</v>
      </c>
      <c r="W134">
        <v>0</v>
      </c>
      <c r="X134">
        <v>1</v>
      </c>
      <c r="Y134">
        <v>5</v>
      </c>
      <c r="Z134">
        <v>1</v>
      </c>
      <c r="AA134" t="b">
        <v>0</v>
      </c>
    </row>
    <row r="135" spans="1:27" x14ac:dyDescent="0.3">
      <c r="A135" t="s">
        <v>120</v>
      </c>
      <c r="B135" t="s">
        <v>120</v>
      </c>
      <c r="C135"/>
      <c r="D135"/>
      <c r="E135"/>
      <c r="F135"/>
      <c r="G135">
        <v>1.9833333339999999</v>
      </c>
      <c r="H135">
        <v>1</v>
      </c>
      <c r="I135">
        <v>1</v>
      </c>
      <c r="J135">
        <v>1</v>
      </c>
      <c r="K135">
        <v>1</v>
      </c>
      <c r="L135">
        <v>0</v>
      </c>
      <c r="M135">
        <v>1</v>
      </c>
      <c r="N135">
        <v>0</v>
      </c>
      <c r="O135">
        <v>0</v>
      </c>
      <c r="P135">
        <v>1</v>
      </c>
      <c r="Q135">
        <v>0</v>
      </c>
      <c r="R135">
        <v>0</v>
      </c>
      <c r="S135">
        <v>0</v>
      </c>
      <c r="T135">
        <v>0</v>
      </c>
      <c r="U135">
        <v>0</v>
      </c>
      <c r="V135">
        <v>0</v>
      </c>
      <c r="W135">
        <v>1</v>
      </c>
      <c r="X135">
        <v>1</v>
      </c>
      <c r="Y135">
        <v>6</v>
      </c>
      <c r="Z135">
        <v>2</v>
      </c>
      <c r="AA135" t="b">
        <v>0</v>
      </c>
    </row>
    <row r="136" spans="1:27" x14ac:dyDescent="0.3">
      <c r="A136" t="s">
        <v>121</v>
      </c>
      <c r="B136" t="s">
        <v>121</v>
      </c>
      <c r="C136"/>
      <c r="D136"/>
      <c r="E136"/>
      <c r="F136"/>
      <c r="G136">
        <v>2.0750000000000002</v>
      </c>
      <c r="H136">
        <v>1</v>
      </c>
      <c r="I136">
        <v>0</v>
      </c>
      <c r="J136">
        <v>1</v>
      </c>
      <c r="K136">
        <v>1</v>
      </c>
      <c r="L136">
        <v>0</v>
      </c>
      <c r="M136">
        <v>1</v>
      </c>
      <c r="N136">
        <v>0</v>
      </c>
      <c r="O136">
        <v>0</v>
      </c>
      <c r="P136">
        <v>1</v>
      </c>
      <c r="Q136">
        <v>0</v>
      </c>
      <c r="R136">
        <v>0</v>
      </c>
      <c r="S136">
        <v>0</v>
      </c>
      <c r="T136">
        <v>0</v>
      </c>
      <c r="U136">
        <v>0</v>
      </c>
      <c r="V136">
        <v>0</v>
      </c>
      <c r="W136">
        <v>1</v>
      </c>
      <c r="X136">
        <v>1</v>
      </c>
      <c r="Y136">
        <v>5</v>
      </c>
      <c r="Z136">
        <v>2</v>
      </c>
      <c r="AA136" t="b">
        <v>0</v>
      </c>
    </row>
    <row r="137" spans="1:27" x14ac:dyDescent="0.3">
      <c r="A137" t="s">
        <v>313</v>
      </c>
      <c r="B137" t="s">
        <v>394</v>
      </c>
      <c r="C137"/>
      <c r="D137" t="s">
        <v>313</v>
      </c>
      <c r="E137" t="s">
        <v>313</v>
      </c>
      <c r="F137"/>
      <c r="G137">
        <v>3.55</v>
      </c>
      <c r="H137">
        <v>1</v>
      </c>
      <c r="I137">
        <v>0</v>
      </c>
      <c r="J137">
        <v>0</v>
      </c>
      <c r="K137">
        <v>1</v>
      </c>
      <c r="L137">
        <v>0</v>
      </c>
      <c r="M137">
        <v>1</v>
      </c>
      <c r="N137">
        <v>0</v>
      </c>
      <c r="O137">
        <v>0</v>
      </c>
      <c r="P137">
        <v>0</v>
      </c>
      <c r="Q137">
        <v>0</v>
      </c>
      <c r="R137">
        <v>0</v>
      </c>
      <c r="S137">
        <v>0</v>
      </c>
      <c r="T137">
        <v>0</v>
      </c>
      <c r="U137">
        <v>1</v>
      </c>
      <c r="V137">
        <v>0</v>
      </c>
      <c r="W137">
        <v>1</v>
      </c>
      <c r="X137">
        <v>0</v>
      </c>
      <c r="Y137">
        <v>3</v>
      </c>
      <c r="Z137">
        <v>2</v>
      </c>
      <c r="AA137" t="b">
        <v>0</v>
      </c>
    </row>
    <row r="138" spans="1:27" x14ac:dyDescent="0.3">
      <c r="A138" t="s">
        <v>314</v>
      </c>
      <c r="B138" t="s">
        <v>315</v>
      </c>
      <c r="C138"/>
      <c r="D138" t="s">
        <v>314</v>
      </c>
      <c r="E138" t="s">
        <v>314</v>
      </c>
      <c r="F138"/>
      <c r="G138">
        <v>4.3649550000000001</v>
      </c>
      <c r="H138">
        <v>1</v>
      </c>
      <c r="I138">
        <v>0</v>
      </c>
      <c r="J138">
        <v>1</v>
      </c>
      <c r="K138">
        <v>1</v>
      </c>
      <c r="L138">
        <v>1</v>
      </c>
      <c r="M138">
        <v>1</v>
      </c>
      <c r="N138">
        <v>1</v>
      </c>
      <c r="O138">
        <v>0</v>
      </c>
      <c r="P138">
        <v>0</v>
      </c>
      <c r="Q138">
        <v>0</v>
      </c>
      <c r="R138">
        <v>0</v>
      </c>
      <c r="S138">
        <v>0</v>
      </c>
      <c r="T138">
        <v>0</v>
      </c>
      <c r="U138">
        <v>0</v>
      </c>
      <c r="V138">
        <v>0</v>
      </c>
      <c r="W138">
        <v>1</v>
      </c>
      <c r="X138">
        <v>1</v>
      </c>
      <c r="Y138">
        <v>6</v>
      </c>
      <c r="Z138">
        <v>2</v>
      </c>
      <c r="AA138" t="b">
        <v>0</v>
      </c>
    </row>
    <row r="139" spans="1:27" x14ac:dyDescent="0.3">
      <c r="A139" t="s">
        <v>316</v>
      </c>
      <c r="B139" t="s">
        <v>395</v>
      </c>
      <c r="C139"/>
      <c r="D139" t="s">
        <v>316</v>
      </c>
      <c r="E139" t="s">
        <v>316</v>
      </c>
      <c r="F139"/>
      <c r="G139">
        <v>3.5499849999999999</v>
      </c>
      <c r="H139">
        <v>1</v>
      </c>
      <c r="I139">
        <v>0</v>
      </c>
      <c r="J139">
        <v>1</v>
      </c>
      <c r="K139">
        <v>0</v>
      </c>
      <c r="L139">
        <v>1</v>
      </c>
      <c r="M139">
        <v>1</v>
      </c>
      <c r="N139">
        <v>1</v>
      </c>
      <c r="O139">
        <v>0</v>
      </c>
      <c r="P139">
        <v>0</v>
      </c>
      <c r="Q139">
        <v>0</v>
      </c>
      <c r="R139">
        <v>0</v>
      </c>
      <c r="S139">
        <v>0</v>
      </c>
      <c r="T139">
        <v>0</v>
      </c>
      <c r="U139">
        <v>0</v>
      </c>
      <c r="V139">
        <v>0</v>
      </c>
      <c r="W139">
        <v>1</v>
      </c>
      <c r="X139">
        <v>1</v>
      </c>
      <c r="Y139">
        <v>5</v>
      </c>
      <c r="Z139">
        <v>2</v>
      </c>
      <c r="AA139" t="b">
        <v>1</v>
      </c>
    </row>
    <row r="140" spans="1:27" x14ac:dyDescent="0.3">
      <c r="A140" t="s">
        <v>122</v>
      </c>
      <c r="B140" t="s">
        <v>122</v>
      </c>
      <c r="C140"/>
      <c r="D140"/>
      <c r="E140"/>
      <c r="F140"/>
      <c r="G140">
        <v>5.3666666669999996</v>
      </c>
      <c r="H140">
        <v>1</v>
      </c>
      <c r="I140">
        <v>0</v>
      </c>
      <c r="J140">
        <v>1</v>
      </c>
      <c r="K140">
        <v>0</v>
      </c>
      <c r="L140">
        <v>1</v>
      </c>
      <c r="M140">
        <v>1</v>
      </c>
      <c r="N140">
        <v>0</v>
      </c>
      <c r="O140">
        <v>0</v>
      </c>
      <c r="P140">
        <v>0</v>
      </c>
      <c r="Q140">
        <v>0</v>
      </c>
      <c r="R140">
        <v>0</v>
      </c>
      <c r="S140">
        <v>0</v>
      </c>
      <c r="T140">
        <v>0</v>
      </c>
      <c r="U140">
        <v>0</v>
      </c>
      <c r="V140">
        <v>0</v>
      </c>
      <c r="W140">
        <v>0</v>
      </c>
      <c r="X140">
        <v>1</v>
      </c>
      <c r="Y140">
        <v>4</v>
      </c>
      <c r="Z140">
        <v>1</v>
      </c>
      <c r="AA140" t="b">
        <v>0</v>
      </c>
    </row>
    <row r="141" spans="1:27" x14ac:dyDescent="0.3">
      <c r="A141" t="s">
        <v>123</v>
      </c>
      <c r="B141" t="s">
        <v>123</v>
      </c>
      <c r="C141"/>
      <c r="D141"/>
      <c r="E141"/>
      <c r="F141"/>
      <c r="G141">
        <v>3.4416666669999998</v>
      </c>
      <c r="H141">
        <v>0</v>
      </c>
      <c r="I141">
        <v>0</v>
      </c>
      <c r="J141">
        <v>1</v>
      </c>
      <c r="K141">
        <v>1</v>
      </c>
      <c r="L141">
        <v>1</v>
      </c>
      <c r="M141">
        <v>1</v>
      </c>
      <c r="N141">
        <v>0</v>
      </c>
      <c r="O141">
        <v>0</v>
      </c>
      <c r="P141">
        <v>0</v>
      </c>
      <c r="Q141">
        <v>0</v>
      </c>
      <c r="R141">
        <v>0</v>
      </c>
      <c r="S141">
        <v>0</v>
      </c>
      <c r="T141">
        <v>0</v>
      </c>
      <c r="U141">
        <v>0</v>
      </c>
      <c r="V141">
        <v>0</v>
      </c>
      <c r="W141">
        <v>0</v>
      </c>
      <c r="X141">
        <v>1</v>
      </c>
      <c r="Y141">
        <v>4</v>
      </c>
      <c r="Z141">
        <v>1</v>
      </c>
      <c r="AA141" t="b">
        <v>0</v>
      </c>
    </row>
    <row r="142" spans="1:27" x14ac:dyDescent="0.3">
      <c r="A142" t="s">
        <v>124</v>
      </c>
      <c r="B142" t="s">
        <v>124</v>
      </c>
      <c r="C142"/>
      <c r="D142"/>
      <c r="E142"/>
      <c r="F142"/>
      <c r="G142">
        <v>3.2</v>
      </c>
      <c r="H142">
        <v>1</v>
      </c>
      <c r="I142">
        <v>0</v>
      </c>
      <c r="J142">
        <v>0</v>
      </c>
      <c r="K142">
        <v>1</v>
      </c>
      <c r="L142">
        <v>1</v>
      </c>
      <c r="M142">
        <v>0</v>
      </c>
      <c r="N142">
        <v>1</v>
      </c>
      <c r="O142">
        <v>0</v>
      </c>
      <c r="P142">
        <v>0</v>
      </c>
      <c r="Q142">
        <v>0</v>
      </c>
      <c r="R142">
        <v>0</v>
      </c>
      <c r="S142">
        <v>0</v>
      </c>
      <c r="T142">
        <v>0</v>
      </c>
      <c r="U142">
        <v>0</v>
      </c>
      <c r="V142">
        <v>0</v>
      </c>
      <c r="W142">
        <v>1</v>
      </c>
      <c r="X142">
        <v>1</v>
      </c>
      <c r="Y142">
        <v>4</v>
      </c>
      <c r="Z142">
        <v>2</v>
      </c>
      <c r="AA142" t="b">
        <v>0</v>
      </c>
    </row>
    <row r="143" spans="1:27" x14ac:dyDescent="0.3">
      <c r="A143" t="s">
        <v>125</v>
      </c>
      <c r="B143" t="s">
        <v>125</v>
      </c>
      <c r="C143"/>
      <c r="D143"/>
      <c r="E143"/>
      <c r="F143"/>
      <c r="G143">
        <v>3.7</v>
      </c>
      <c r="H143">
        <v>1</v>
      </c>
      <c r="I143">
        <v>0</v>
      </c>
      <c r="J143">
        <v>0</v>
      </c>
      <c r="K143">
        <v>1</v>
      </c>
      <c r="L143">
        <v>1</v>
      </c>
      <c r="M143">
        <v>1</v>
      </c>
      <c r="N143">
        <v>1</v>
      </c>
      <c r="O143">
        <v>0</v>
      </c>
      <c r="P143">
        <v>0</v>
      </c>
      <c r="Q143">
        <v>0</v>
      </c>
      <c r="R143">
        <v>0</v>
      </c>
      <c r="S143">
        <v>0</v>
      </c>
      <c r="T143">
        <v>0</v>
      </c>
      <c r="U143">
        <v>0</v>
      </c>
      <c r="V143">
        <v>0</v>
      </c>
      <c r="W143">
        <v>0</v>
      </c>
      <c r="X143">
        <v>1</v>
      </c>
      <c r="Y143">
        <v>5</v>
      </c>
      <c r="Z143">
        <v>1</v>
      </c>
      <c r="AA143" t="b">
        <v>0</v>
      </c>
    </row>
    <row r="144" spans="1:27" x14ac:dyDescent="0.3">
      <c r="A144" t="s">
        <v>126</v>
      </c>
      <c r="B144" t="s">
        <v>126</v>
      </c>
      <c r="C144"/>
      <c r="D144"/>
      <c r="E144"/>
      <c r="F144"/>
      <c r="G144">
        <v>3</v>
      </c>
      <c r="H144">
        <v>1</v>
      </c>
      <c r="I144">
        <v>0</v>
      </c>
      <c r="J144">
        <v>1</v>
      </c>
      <c r="K144">
        <v>1</v>
      </c>
      <c r="L144">
        <v>0</v>
      </c>
      <c r="M144">
        <v>1</v>
      </c>
      <c r="N144">
        <v>1</v>
      </c>
      <c r="O144">
        <v>0</v>
      </c>
      <c r="P144">
        <v>0</v>
      </c>
      <c r="Q144">
        <v>0</v>
      </c>
      <c r="R144">
        <v>0</v>
      </c>
      <c r="S144">
        <v>0</v>
      </c>
      <c r="T144">
        <v>0</v>
      </c>
      <c r="U144">
        <v>0</v>
      </c>
      <c r="V144">
        <v>0</v>
      </c>
      <c r="W144">
        <v>0</v>
      </c>
      <c r="X144">
        <v>1</v>
      </c>
      <c r="Y144">
        <v>5</v>
      </c>
      <c r="Z144">
        <v>1</v>
      </c>
      <c r="AA144" t="b">
        <v>0</v>
      </c>
    </row>
    <row r="145" spans="1:27" x14ac:dyDescent="0.3">
      <c r="A145" t="s">
        <v>127</v>
      </c>
      <c r="B145" t="s">
        <v>127</v>
      </c>
      <c r="C145"/>
      <c r="D145"/>
      <c r="E145"/>
      <c r="F145"/>
      <c r="G145">
        <v>5.6142857140000002</v>
      </c>
      <c r="H145">
        <v>1</v>
      </c>
      <c r="I145">
        <v>0</v>
      </c>
      <c r="J145">
        <v>0</v>
      </c>
      <c r="K145">
        <v>0</v>
      </c>
      <c r="L145">
        <v>0</v>
      </c>
      <c r="M145">
        <v>1</v>
      </c>
      <c r="N145">
        <v>0</v>
      </c>
      <c r="O145">
        <v>0</v>
      </c>
      <c r="P145">
        <v>0</v>
      </c>
      <c r="Q145">
        <v>0</v>
      </c>
      <c r="R145">
        <v>0</v>
      </c>
      <c r="S145">
        <v>0</v>
      </c>
      <c r="T145">
        <v>0</v>
      </c>
      <c r="U145">
        <v>0</v>
      </c>
      <c r="V145">
        <v>0</v>
      </c>
      <c r="W145">
        <v>0</v>
      </c>
      <c r="X145">
        <v>1</v>
      </c>
      <c r="Y145">
        <v>2</v>
      </c>
      <c r="Z145">
        <v>1</v>
      </c>
      <c r="AA145" t="b">
        <v>1</v>
      </c>
    </row>
    <row r="146" spans="1:27" x14ac:dyDescent="0.3">
      <c r="A146" t="s">
        <v>128</v>
      </c>
      <c r="B146" t="s">
        <v>128</v>
      </c>
      <c r="C146"/>
      <c r="D146"/>
      <c r="E146"/>
      <c r="F146"/>
      <c r="G146">
        <v>6.3866666670000001</v>
      </c>
      <c r="H146">
        <v>0</v>
      </c>
      <c r="I146">
        <v>0</v>
      </c>
      <c r="J146">
        <v>0</v>
      </c>
      <c r="K146">
        <v>1</v>
      </c>
      <c r="L146">
        <v>0</v>
      </c>
      <c r="M146">
        <v>1</v>
      </c>
      <c r="N146">
        <v>0</v>
      </c>
      <c r="O146">
        <v>0</v>
      </c>
      <c r="P146">
        <v>0</v>
      </c>
      <c r="Q146">
        <v>0</v>
      </c>
      <c r="R146">
        <v>0</v>
      </c>
      <c r="S146">
        <v>0</v>
      </c>
      <c r="T146">
        <v>0</v>
      </c>
      <c r="U146">
        <v>0</v>
      </c>
      <c r="V146">
        <v>0</v>
      </c>
      <c r="W146">
        <v>0</v>
      </c>
      <c r="X146">
        <v>0</v>
      </c>
      <c r="Y146">
        <v>2</v>
      </c>
      <c r="Z146">
        <v>0</v>
      </c>
      <c r="AA146" t="b">
        <v>0</v>
      </c>
    </row>
    <row r="147" spans="1:27" x14ac:dyDescent="0.3">
      <c r="A147" t="s">
        <v>129</v>
      </c>
      <c r="B147"/>
      <c r="C147" t="s">
        <v>396</v>
      </c>
      <c r="D147"/>
      <c r="E147"/>
      <c r="F147"/>
      <c r="G147" t="s">
        <v>321</v>
      </c>
      <c r="H147">
        <v>1</v>
      </c>
      <c r="I147">
        <v>0</v>
      </c>
      <c r="J147">
        <v>0</v>
      </c>
      <c r="K147">
        <v>0</v>
      </c>
      <c r="L147">
        <v>0</v>
      </c>
      <c r="M147">
        <v>0</v>
      </c>
      <c r="N147">
        <v>1</v>
      </c>
      <c r="O147">
        <v>0</v>
      </c>
      <c r="P147">
        <v>0</v>
      </c>
      <c r="Q147">
        <v>0</v>
      </c>
      <c r="R147">
        <v>0</v>
      </c>
      <c r="S147">
        <v>0</v>
      </c>
      <c r="T147">
        <v>0</v>
      </c>
      <c r="U147">
        <v>0</v>
      </c>
      <c r="V147">
        <v>0</v>
      </c>
      <c r="W147">
        <v>0</v>
      </c>
      <c r="X147">
        <v>0</v>
      </c>
      <c r="Y147">
        <v>2</v>
      </c>
      <c r="Z147">
        <v>0</v>
      </c>
      <c r="AA147" t="b">
        <v>0</v>
      </c>
    </row>
    <row r="148" spans="1:27" x14ac:dyDescent="0.3">
      <c r="A148" t="s">
        <v>130</v>
      </c>
      <c r="B148" t="s">
        <v>130</v>
      </c>
      <c r="C148"/>
      <c r="D148"/>
      <c r="E148"/>
      <c r="F148"/>
      <c r="G148">
        <v>5.6142857150000003</v>
      </c>
      <c r="H148">
        <v>1</v>
      </c>
      <c r="I148">
        <v>1</v>
      </c>
      <c r="J148">
        <v>1</v>
      </c>
      <c r="K148">
        <v>0</v>
      </c>
      <c r="L148">
        <v>1</v>
      </c>
      <c r="M148">
        <v>0</v>
      </c>
      <c r="N148">
        <v>1</v>
      </c>
      <c r="O148">
        <v>0</v>
      </c>
      <c r="P148">
        <v>0</v>
      </c>
      <c r="Q148">
        <v>0</v>
      </c>
      <c r="R148">
        <v>0</v>
      </c>
      <c r="S148">
        <v>0</v>
      </c>
      <c r="T148">
        <v>0</v>
      </c>
      <c r="U148">
        <v>0</v>
      </c>
      <c r="V148">
        <v>0</v>
      </c>
      <c r="W148">
        <v>0</v>
      </c>
      <c r="X148">
        <v>1</v>
      </c>
      <c r="Y148">
        <v>5</v>
      </c>
      <c r="Z148">
        <v>1</v>
      </c>
      <c r="AA148" t="b">
        <v>1</v>
      </c>
    </row>
    <row r="149" spans="1:27" x14ac:dyDescent="0.3">
      <c r="A149" t="s">
        <v>131</v>
      </c>
      <c r="B149"/>
      <c r="C149" t="s">
        <v>397</v>
      </c>
      <c r="D149"/>
      <c r="E149"/>
      <c r="F149"/>
      <c r="G149">
        <v>4.12</v>
      </c>
      <c r="H149">
        <v>1</v>
      </c>
      <c r="I149">
        <v>0</v>
      </c>
      <c r="J149">
        <v>1</v>
      </c>
      <c r="K149">
        <v>0</v>
      </c>
      <c r="L149">
        <v>0</v>
      </c>
      <c r="M149">
        <v>0</v>
      </c>
      <c r="N149">
        <v>0</v>
      </c>
      <c r="O149">
        <v>0</v>
      </c>
      <c r="P149">
        <v>0</v>
      </c>
      <c r="Q149">
        <v>0</v>
      </c>
      <c r="R149">
        <v>0</v>
      </c>
      <c r="S149">
        <v>0</v>
      </c>
      <c r="T149">
        <v>0</v>
      </c>
      <c r="U149">
        <v>0</v>
      </c>
      <c r="V149">
        <v>1</v>
      </c>
      <c r="W149">
        <v>0</v>
      </c>
      <c r="X149">
        <v>0</v>
      </c>
      <c r="Y149">
        <v>2</v>
      </c>
      <c r="Z149">
        <v>1</v>
      </c>
      <c r="AA149" t="b">
        <v>1</v>
      </c>
    </row>
    <row r="150" spans="1:27" x14ac:dyDescent="0.3">
      <c r="A150" t="s">
        <v>334</v>
      </c>
      <c r="B150" t="s">
        <v>398</v>
      </c>
      <c r="C150"/>
      <c r="D150" t="s">
        <v>334</v>
      </c>
      <c r="E150" t="s">
        <v>348</v>
      </c>
      <c r="F150"/>
      <c r="G150">
        <v>7.8710000000000004</v>
      </c>
      <c r="H150">
        <v>1</v>
      </c>
      <c r="I150">
        <v>0</v>
      </c>
      <c r="J150">
        <v>1</v>
      </c>
      <c r="K150">
        <v>0</v>
      </c>
      <c r="L150">
        <v>0</v>
      </c>
      <c r="M150">
        <v>0</v>
      </c>
      <c r="N150">
        <v>0</v>
      </c>
      <c r="O150">
        <v>1</v>
      </c>
      <c r="P150">
        <v>0</v>
      </c>
      <c r="Q150">
        <v>0</v>
      </c>
      <c r="R150">
        <v>0</v>
      </c>
      <c r="S150">
        <v>0</v>
      </c>
      <c r="T150">
        <v>1</v>
      </c>
      <c r="U150">
        <v>0</v>
      </c>
      <c r="V150">
        <v>1</v>
      </c>
      <c r="W150">
        <v>0</v>
      </c>
      <c r="X150">
        <v>0</v>
      </c>
      <c r="Y150">
        <v>3</v>
      </c>
      <c r="Z150">
        <v>2</v>
      </c>
      <c r="AA150" t="b">
        <v>0</v>
      </c>
    </row>
    <row r="151" spans="1:27" x14ac:dyDescent="0.3">
      <c r="A151" t="s">
        <v>132</v>
      </c>
      <c r="B151" t="s">
        <v>132</v>
      </c>
      <c r="C151"/>
      <c r="D151"/>
      <c r="E151"/>
      <c r="F151"/>
      <c r="G151">
        <v>2.88</v>
      </c>
      <c r="H151">
        <v>1</v>
      </c>
      <c r="I151">
        <v>0</v>
      </c>
      <c r="J151">
        <v>1</v>
      </c>
      <c r="K151">
        <v>1</v>
      </c>
      <c r="L151">
        <v>0</v>
      </c>
      <c r="M151">
        <v>1</v>
      </c>
      <c r="N151">
        <v>0</v>
      </c>
      <c r="O151">
        <v>0</v>
      </c>
      <c r="P151">
        <v>0</v>
      </c>
      <c r="Q151">
        <v>0</v>
      </c>
      <c r="R151">
        <v>1</v>
      </c>
      <c r="S151">
        <v>0</v>
      </c>
      <c r="T151">
        <v>0</v>
      </c>
      <c r="U151">
        <v>0</v>
      </c>
      <c r="V151">
        <v>0</v>
      </c>
      <c r="W151">
        <v>0</v>
      </c>
      <c r="X151">
        <v>1</v>
      </c>
      <c r="Y151">
        <v>5</v>
      </c>
      <c r="Z151">
        <v>1</v>
      </c>
      <c r="AA151" t="b">
        <v>0</v>
      </c>
    </row>
    <row r="152" spans="1:27" x14ac:dyDescent="0.3">
      <c r="A152" t="s">
        <v>133</v>
      </c>
      <c r="B152" t="s">
        <v>133</v>
      </c>
      <c r="C152"/>
      <c r="D152"/>
      <c r="E152"/>
      <c r="F152"/>
      <c r="G152">
        <v>7.52</v>
      </c>
      <c r="H152">
        <v>1</v>
      </c>
      <c r="I152">
        <v>0</v>
      </c>
      <c r="J152">
        <v>0</v>
      </c>
      <c r="K152">
        <v>0</v>
      </c>
      <c r="L152">
        <v>0</v>
      </c>
      <c r="M152">
        <v>0</v>
      </c>
      <c r="N152">
        <v>0</v>
      </c>
      <c r="O152">
        <v>0</v>
      </c>
      <c r="P152">
        <v>0</v>
      </c>
      <c r="Q152">
        <v>0</v>
      </c>
      <c r="R152">
        <v>0</v>
      </c>
      <c r="S152">
        <v>0</v>
      </c>
      <c r="T152">
        <v>0</v>
      </c>
      <c r="U152">
        <v>0</v>
      </c>
      <c r="V152">
        <v>0</v>
      </c>
      <c r="W152">
        <v>0</v>
      </c>
      <c r="X152">
        <v>1</v>
      </c>
      <c r="Y152">
        <v>1</v>
      </c>
      <c r="Z152">
        <v>1</v>
      </c>
      <c r="AA152" t="b">
        <v>0</v>
      </c>
    </row>
    <row r="153" spans="1:27" x14ac:dyDescent="0.3">
      <c r="A153" t="s">
        <v>134</v>
      </c>
      <c r="B153" t="s">
        <v>399</v>
      </c>
      <c r="C153"/>
      <c r="D153"/>
      <c r="E153"/>
      <c r="F153"/>
      <c r="G153">
        <v>2.67</v>
      </c>
      <c r="H153">
        <v>1</v>
      </c>
      <c r="I153">
        <v>1</v>
      </c>
      <c r="J153">
        <v>1</v>
      </c>
      <c r="K153">
        <v>1</v>
      </c>
      <c r="L153">
        <v>0</v>
      </c>
      <c r="M153">
        <v>0</v>
      </c>
      <c r="N153">
        <v>0</v>
      </c>
      <c r="O153">
        <v>0</v>
      </c>
      <c r="P153">
        <v>1</v>
      </c>
      <c r="Q153">
        <v>0</v>
      </c>
      <c r="R153">
        <v>0</v>
      </c>
      <c r="S153">
        <v>0</v>
      </c>
      <c r="T153">
        <v>0</v>
      </c>
      <c r="U153">
        <v>0</v>
      </c>
      <c r="V153">
        <v>0</v>
      </c>
      <c r="W153">
        <v>0</v>
      </c>
      <c r="X153">
        <v>1</v>
      </c>
      <c r="Y153">
        <v>5</v>
      </c>
      <c r="Z153">
        <v>1</v>
      </c>
      <c r="AA153" t="b">
        <v>0</v>
      </c>
    </row>
    <row r="154" spans="1:27" x14ac:dyDescent="0.3">
      <c r="A154" t="s">
        <v>135</v>
      </c>
      <c r="B154" t="s">
        <v>135</v>
      </c>
      <c r="C154"/>
      <c r="D154"/>
      <c r="E154"/>
      <c r="F154"/>
      <c r="G154">
        <v>8.2899999999999991</v>
      </c>
      <c r="H154">
        <v>1</v>
      </c>
      <c r="I154">
        <v>0</v>
      </c>
      <c r="J154">
        <v>0</v>
      </c>
      <c r="K154">
        <v>0</v>
      </c>
      <c r="L154">
        <v>0</v>
      </c>
      <c r="M154">
        <v>0</v>
      </c>
      <c r="N154">
        <v>1</v>
      </c>
      <c r="O154">
        <v>0</v>
      </c>
      <c r="P154">
        <v>0</v>
      </c>
      <c r="Q154">
        <v>0</v>
      </c>
      <c r="R154">
        <v>0</v>
      </c>
      <c r="S154">
        <v>0</v>
      </c>
      <c r="T154">
        <v>1</v>
      </c>
      <c r="U154">
        <v>0</v>
      </c>
      <c r="V154">
        <v>0</v>
      </c>
      <c r="W154">
        <v>0</v>
      </c>
      <c r="X154">
        <v>0</v>
      </c>
      <c r="Y154">
        <v>2</v>
      </c>
      <c r="Z154">
        <v>1</v>
      </c>
      <c r="AA154" t="b">
        <v>1</v>
      </c>
    </row>
    <row r="155" spans="1:27" s="5" customFormat="1" x14ac:dyDescent="0.3">
      <c r="A155" s="4"/>
      <c r="B155" s="4" t="s">
        <v>472</v>
      </c>
      <c r="C155" s="4"/>
      <c r="D155" s="4" t="s">
        <v>472</v>
      </c>
      <c r="E155" s="4" t="s">
        <v>472</v>
      </c>
      <c r="F155" s="4"/>
      <c r="G155" s="4">
        <v>3.2</v>
      </c>
      <c r="H155" s="4"/>
      <c r="I155" s="4"/>
      <c r="J155" s="4"/>
      <c r="K155" s="4"/>
      <c r="L155" s="4"/>
      <c r="M155" s="4"/>
      <c r="N155" s="4"/>
      <c r="O155" s="4"/>
      <c r="P155" s="4"/>
      <c r="Q155" s="4"/>
      <c r="R155" s="4"/>
      <c r="S155" s="4">
        <v>0</v>
      </c>
      <c r="T155" s="4">
        <v>0</v>
      </c>
      <c r="U155" s="4">
        <v>0</v>
      </c>
      <c r="V155" s="4">
        <v>0</v>
      </c>
      <c r="W155" s="4">
        <v>0</v>
      </c>
      <c r="X155" s="4">
        <v>0</v>
      </c>
      <c r="Y155" s="4"/>
      <c r="Z155" s="4">
        <v>0</v>
      </c>
      <c r="AA155" s="4" t="b">
        <v>1</v>
      </c>
    </row>
    <row r="156" spans="1:27" x14ac:dyDescent="0.3">
      <c r="A156" t="s">
        <v>136</v>
      </c>
      <c r="B156" t="s">
        <v>136</v>
      </c>
      <c r="C156"/>
      <c r="D156"/>
      <c r="E156"/>
      <c r="F156"/>
      <c r="G156">
        <v>3.6541666670000001</v>
      </c>
      <c r="H156">
        <v>0</v>
      </c>
      <c r="I156">
        <v>1</v>
      </c>
      <c r="J156">
        <v>1</v>
      </c>
      <c r="K156">
        <v>0</v>
      </c>
      <c r="L156">
        <v>0</v>
      </c>
      <c r="M156">
        <v>0</v>
      </c>
      <c r="N156">
        <v>0</v>
      </c>
      <c r="O156">
        <v>0</v>
      </c>
      <c r="P156">
        <v>0</v>
      </c>
      <c r="Q156">
        <v>0</v>
      </c>
      <c r="R156">
        <v>0</v>
      </c>
      <c r="S156">
        <v>0</v>
      </c>
      <c r="T156">
        <v>0</v>
      </c>
      <c r="U156">
        <v>0</v>
      </c>
      <c r="V156">
        <v>0</v>
      </c>
      <c r="W156">
        <v>0</v>
      </c>
      <c r="X156">
        <v>0</v>
      </c>
      <c r="Y156">
        <v>2</v>
      </c>
      <c r="Z156">
        <v>0</v>
      </c>
      <c r="AA156" t="b">
        <v>0</v>
      </c>
    </row>
    <row r="157" spans="1:27" x14ac:dyDescent="0.3">
      <c r="A157" t="s">
        <v>137</v>
      </c>
      <c r="B157" t="s">
        <v>137</v>
      </c>
      <c r="C157"/>
      <c r="D157"/>
      <c r="E157"/>
      <c r="F157"/>
      <c r="G157">
        <v>3.25</v>
      </c>
      <c r="H157">
        <v>0</v>
      </c>
      <c r="I157">
        <v>1</v>
      </c>
      <c r="J157">
        <v>1</v>
      </c>
      <c r="K157">
        <v>1</v>
      </c>
      <c r="L157">
        <v>0</v>
      </c>
      <c r="M157">
        <v>0</v>
      </c>
      <c r="N157">
        <v>0</v>
      </c>
      <c r="O157">
        <v>0</v>
      </c>
      <c r="P157">
        <v>0</v>
      </c>
      <c r="Q157">
        <v>0</v>
      </c>
      <c r="R157">
        <v>0</v>
      </c>
      <c r="S157">
        <v>0</v>
      </c>
      <c r="T157">
        <v>0</v>
      </c>
      <c r="U157">
        <v>0</v>
      </c>
      <c r="V157">
        <v>0</v>
      </c>
      <c r="W157">
        <v>1</v>
      </c>
      <c r="X157">
        <v>0</v>
      </c>
      <c r="Y157">
        <v>3</v>
      </c>
      <c r="Z157">
        <v>1</v>
      </c>
      <c r="AA157" t="b">
        <v>0</v>
      </c>
    </row>
    <row r="158" spans="1:27" s="2" customFormat="1" x14ac:dyDescent="0.3">
      <c r="A158" s="3" t="s">
        <v>138</v>
      </c>
      <c r="B158" s="3" t="s">
        <v>138</v>
      </c>
      <c r="C158" s="3"/>
      <c r="D158" s="3" t="s">
        <v>499</v>
      </c>
      <c r="E158" s="3"/>
      <c r="F158" s="3"/>
      <c r="G158" s="3">
        <f>(1.5+2.3)/2</f>
        <v>1.9</v>
      </c>
      <c r="H158" s="3">
        <v>0</v>
      </c>
      <c r="I158" s="3">
        <v>1</v>
      </c>
      <c r="J158" s="3">
        <v>0</v>
      </c>
      <c r="K158" s="3">
        <v>1</v>
      </c>
      <c r="L158" s="3">
        <v>0</v>
      </c>
      <c r="M158" s="3">
        <v>0</v>
      </c>
      <c r="N158" s="3">
        <v>0</v>
      </c>
      <c r="O158" s="3">
        <v>0</v>
      </c>
      <c r="P158" s="3">
        <v>1</v>
      </c>
      <c r="Q158" s="3">
        <v>0</v>
      </c>
      <c r="R158" s="3">
        <v>0</v>
      </c>
      <c r="S158" s="3">
        <v>1</v>
      </c>
      <c r="T158" s="3">
        <v>0</v>
      </c>
      <c r="U158" s="3">
        <v>0</v>
      </c>
      <c r="V158" s="3">
        <v>0</v>
      </c>
      <c r="W158" s="3">
        <v>0</v>
      </c>
      <c r="X158" s="3">
        <v>1</v>
      </c>
      <c r="Y158" s="3">
        <v>3</v>
      </c>
      <c r="Z158" s="3">
        <v>2</v>
      </c>
      <c r="AA158" s="3" t="b">
        <v>0</v>
      </c>
    </row>
    <row r="159" spans="1:27" x14ac:dyDescent="0.3">
      <c r="A159" t="s">
        <v>302</v>
      </c>
      <c r="B159" t="s">
        <v>302</v>
      </c>
      <c r="C159"/>
      <c r="D159"/>
      <c r="E159" t="s">
        <v>302</v>
      </c>
      <c r="F159"/>
      <c r="G159" t="s">
        <v>321</v>
      </c>
      <c r="H159" t="s">
        <v>321</v>
      </c>
      <c r="I159" t="s">
        <v>321</v>
      </c>
      <c r="J159" t="s">
        <v>321</v>
      </c>
      <c r="K159" t="s">
        <v>321</v>
      </c>
      <c r="L159" t="s">
        <v>321</v>
      </c>
      <c r="M159" t="s">
        <v>321</v>
      </c>
      <c r="N159" t="s">
        <v>321</v>
      </c>
      <c r="O159" t="s">
        <v>321</v>
      </c>
      <c r="P159" t="s">
        <v>321</v>
      </c>
      <c r="Q159" t="s">
        <v>321</v>
      </c>
      <c r="R159" t="s">
        <v>321</v>
      </c>
      <c r="S159" t="s">
        <v>321</v>
      </c>
      <c r="T159" t="s">
        <v>321</v>
      </c>
      <c r="U159" t="s">
        <v>321</v>
      </c>
      <c r="V159" t="s">
        <v>321</v>
      </c>
      <c r="W159" t="s">
        <v>321</v>
      </c>
      <c r="X159" t="s">
        <v>321</v>
      </c>
      <c r="Y159" t="s">
        <v>321</v>
      </c>
      <c r="Z159" t="s">
        <v>321</v>
      </c>
      <c r="AA159" t="b">
        <v>0</v>
      </c>
    </row>
    <row r="160" spans="1:27" x14ac:dyDescent="0.3">
      <c r="A160" t="s">
        <v>139</v>
      </c>
      <c r="B160" t="s">
        <v>139</v>
      </c>
      <c r="C160"/>
      <c r="D160"/>
      <c r="E160"/>
      <c r="F160"/>
      <c r="G160">
        <v>3.3250000000000002</v>
      </c>
      <c r="H160">
        <v>0</v>
      </c>
      <c r="I160">
        <v>0</v>
      </c>
      <c r="J160">
        <v>0</v>
      </c>
      <c r="K160">
        <v>1</v>
      </c>
      <c r="L160">
        <v>0</v>
      </c>
      <c r="M160">
        <v>0</v>
      </c>
      <c r="N160">
        <v>1</v>
      </c>
      <c r="O160">
        <v>0</v>
      </c>
      <c r="P160">
        <v>0</v>
      </c>
      <c r="Q160">
        <v>0</v>
      </c>
      <c r="R160">
        <v>0</v>
      </c>
      <c r="S160">
        <v>1</v>
      </c>
      <c r="T160">
        <v>0</v>
      </c>
      <c r="U160">
        <v>0</v>
      </c>
      <c r="V160">
        <v>0</v>
      </c>
      <c r="W160">
        <v>0</v>
      </c>
      <c r="X160">
        <v>1</v>
      </c>
      <c r="Y160">
        <v>2</v>
      </c>
      <c r="Z160">
        <v>2</v>
      </c>
      <c r="AA160" t="b">
        <v>0</v>
      </c>
    </row>
    <row r="161" spans="1:27" x14ac:dyDescent="0.3">
      <c r="A161" t="s">
        <v>139</v>
      </c>
      <c r="B161" s="3" t="s">
        <v>487</v>
      </c>
      <c r="C161"/>
      <c r="D161" t="s">
        <v>139</v>
      </c>
      <c r="E161"/>
      <c r="F161"/>
      <c r="G161">
        <v>3.3250000000000002</v>
      </c>
      <c r="H161">
        <v>0</v>
      </c>
      <c r="I161">
        <v>0</v>
      </c>
      <c r="J161">
        <v>0</v>
      </c>
      <c r="K161">
        <v>1</v>
      </c>
      <c r="L161">
        <v>0</v>
      </c>
      <c r="M161">
        <v>0</v>
      </c>
      <c r="N161">
        <v>1</v>
      </c>
      <c r="O161">
        <v>0</v>
      </c>
      <c r="P161">
        <v>0</v>
      </c>
      <c r="Q161">
        <v>0</v>
      </c>
      <c r="R161">
        <v>0</v>
      </c>
      <c r="S161">
        <v>1</v>
      </c>
      <c r="T161">
        <v>0</v>
      </c>
      <c r="U161">
        <v>0</v>
      </c>
      <c r="V161">
        <v>0</v>
      </c>
      <c r="W161">
        <v>0</v>
      </c>
      <c r="X161">
        <v>1</v>
      </c>
      <c r="Y161">
        <v>2</v>
      </c>
      <c r="Z161">
        <v>2</v>
      </c>
      <c r="AA161" t="b">
        <v>0</v>
      </c>
    </row>
    <row r="162" spans="1:27" x14ac:dyDescent="0.3">
      <c r="A162" t="s">
        <v>140</v>
      </c>
      <c r="B162"/>
      <c r="C162" t="s">
        <v>400</v>
      </c>
      <c r="D162"/>
      <c r="E162"/>
      <c r="F162"/>
      <c r="G162">
        <v>2.85</v>
      </c>
      <c r="H162">
        <v>0</v>
      </c>
      <c r="I162">
        <v>0</v>
      </c>
      <c r="J162">
        <v>0</v>
      </c>
      <c r="K162">
        <v>0</v>
      </c>
      <c r="L162">
        <v>0</v>
      </c>
      <c r="M162">
        <v>1</v>
      </c>
      <c r="N162">
        <v>0</v>
      </c>
      <c r="O162">
        <v>0</v>
      </c>
      <c r="P162">
        <v>0</v>
      </c>
      <c r="Q162">
        <v>0</v>
      </c>
      <c r="R162">
        <v>0</v>
      </c>
      <c r="S162">
        <v>0</v>
      </c>
      <c r="T162">
        <v>0</v>
      </c>
      <c r="U162">
        <v>0</v>
      </c>
      <c r="V162">
        <v>0</v>
      </c>
      <c r="W162">
        <v>1</v>
      </c>
      <c r="X162">
        <v>1</v>
      </c>
      <c r="Y162">
        <v>1</v>
      </c>
      <c r="Z162">
        <v>2</v>
      </c>
      <c r="AA162" t="b">
        <v>0</v>
      </c>
    </row>
    <row r="163" spans="1:27" x14ac:dyDescent="0.3">
      <c r="A163" t="s">
        <v>141</v>
      </c>
      <c r="B163" t="s">
        <v>141</v>
      </c>
      <c r="C163"/>
      <c r="D163"/>
      <c r="E163"/>
      <c r="F163"/>
      <c r="G163">
        <v>2.8571428569999999</v>
      </c>
      <c r="H163">
        <v>0</v>
      </c>
      <c r="I163">
        <v>0</v>
      </c>
      <c r="J163">
        <v>0</v>
      </c>
      <c r="K163">
        <v>0</v>
      </c>
      <c r="L163">
        <v>0</v>
      </c>
      <c r="M163">
        <v>0</v>
      </c>
      <c r="N163">
        <v>0</v>
      </c>
      <c r="O163">
        <v>0</v>
      </c>
      <c r="P163">
        <v>0</v>
      </c>
      <c r="Q163">
        <v>0</v>
      </c>
      <c r="R163">
        <v>0</v>
      </c>
      <c r="S163">
        <v>0</v>
      </c>
      <c r="T163">
        <v>0</v>
      </c>
      <c r="U163">
        <v>0</v>
      </c>
      <c r="V163">
        <v>0</v>
      </c>
      <c r="W163">
        <v>1</v>
      </c>
      <c r="X163">
        <v>1</v>
      </c>
      <c r="Y163">
        <v>0</v>
      </c>
      <c r="Z163">
        <v>2</v>
      </c>
      <c r="AA163" t="b">
        <v>0</v>
      </c>
    </row>
    <row r="164" spans="1:27" x14ac:dyDescent="0.3">
      <c r="A164" t="s">
        <v>142</v>
      </c>
      <c r="B164" t="s">
        <v>142</v>
      </c>
      <c r="C164"/>
      <c r="D164"/>
      <c r="E164"/>
      <c r="F164"/>
      <c r="G164">
        <v>3.1749999999999998</v>
      </c>
      <c r="H164">
        <v>0</v>
      </c>
      <c r="I164">
        <v>0</v>
      </c>
      <c r="J164">
        <v>1</v>
      </c>
      <c r="K164">
        <v>1</v>
      </c>
      <c r="L164">
        <v>0</v>
      </c>
      <c r="M164">
        <v>1</v>
      </c>
      <c r="N164">
        <v>0</v>
      </c>
      <c r="O164">
        <v>1</v>
      </c>
      <c r="P164">
        <v>0</v>
      </c>
      <c r="Q164">
        <v>0</v>
      </c>
      <c r="R164">
        <v>0</v>
      </c>
      <c r="S164">
        <v>0</v>
      </c>
      <c r="T164">
        <v>0</v>
      </c>
      <c r="U164">
        <v>0</v>
      </c>
      <c r="V164">
        <v>0</v>
      </c>
      <c r="W164">
        <v>0</v>
      </c>
      <c r="X164">
        <v>1</v>
      </c>
      <c r="Y164">
        <v>4</v>
      </c>
      <c r="Z164">
        <v>1</v>
      </c>
      <c r="AA164" t="b">
        <v>0</v>
      </c>
    </row>
    <row r="165" spans="1:27" ht="21" customHeight="1" x14ac:dyDescent="0.3">
      <c r="A165" t="s">
        <v>143</v>
      </c>
      <c r="B165" t="s">
        <v>143</v>
      </c>
      <c r="C165"/>
      <c r="D165"/>
      <c r="E165"/>
      <c r="F165"/>
      <c r="G165">
        <v>3.76</v>
      </c>
      <c r="H165">
        <v>1</v>
      </c>
      <c r="I165">
        <v>0</v>
      </c>
      <c r="J165">
        <v>1</v>
      </c>
      <c r="K165">
        <v>1</v>
      </c>
      <c r="L165">
        <v>1</v>
      </c>
      <c r="M165">
        <v>1</v>
      </c>
      <c r="N165">
        <v>1</v>
      </c>
      <c r="O165">
        <v>0</v>
      </c>
      <c r="P165">
        <v>0</v>
      </c>
      <c r="Q165">
        <v>0</v>
      </c>
      <c r="R165">
        <v>0</v>
      </c>
      <c r="S165">
        <v>0</v>
      </c>
      <c r="T165">
        <v>0</v>
      </c>
      <c r="U165">
        <v>0</v>
      </c>
      <c r="V165">
        <v>0</v>
      </c>
      <c r="W165">
        <v>1</v>
      </c>
      <c r="X165">
        <v>1</v>
      </c>
      <c r="Y165">
        <v>6</v>
      </c>
      <c r="Z165">
        <v>2</v>
      </c>
      <c r="AA165" t="b">
        <v>1</v>
      </c>
    </row>
    <row r="166" spans="1:27" x14ac:dyDescent="0.3">
      <c r="A166" t="s">
        <v>144</v>
      </c>
      <c r="B166" t="s">
        <v>144</v>
      </c>
      <c r="C166"/>
      <c r="D166"/>
      <c r="E166"/>
      <c r="F166"/>
      <c r="G166">
        <v>3.09</v>
      </c>
      <c r="H166">
        <v>1</v>
      </c>
      <c r="I166">
        <v>0</v>
      </c>
      <c r="J166">
        <v>0</v>
      </c>
      <c r="K166">
        <v>0</v>
      </c>
      <c r="L166">
        <v>0</v>
      </c>
      <c r="M166">
        <v>1</v>
      </c>
      <c r="N166">
        <v>1</v>
      </c>
      <c r="O166">
        <v>0</v>
      </c>
      <c r="P166">
        <v>0</v>
      </c>
      <c r="Q166">
        <v>0</v>
      </c>
      <c r="R166">
        <v>0</v>
      </c>
      <c r="S166">
        <v>0</v>
      </c>
      <c r="T166">
        <v>0</v>
      </c>
      <c r="U166">
        <v>0</v>
      </c>
      <c r="V166">
        <v>0</v>
      </c>
      <c r="W166">
        <v>1</v>
      </c>
      <c r="X166">
        <v>1</v>
      </c>
      <c r="Y166">
        <v>3</v>
      </c>
      <c r="Z166">
        <v>2</v>
      </c>
      <c r="AA166" t="b">
        <v>0</v>
      </c>
    </row>
    <row r="167" spans="1:27" x14ac:dyDescent="0.3">
      <c r="A167" t="s">
        <v>145</v>
      </c>
      <c r="B167" t="s">
        <v>145</v>
      </c>
      <c r="C167"/>
      <c r="D167"/>
      <c r="E167"/>
      <c r="F167" t="s">
        <v>458</v>
      </c>
      <c r="G167">
        <v>2.9823863639999999</v>
      </c>
      <c r="H167">
        <v>1</v>
      </c>
      <c r="I167">
        <v>0</v>
      </c>
      <c r="J167">
        <v>0</v>
      </c>
      <c r="K167">
        <v>1</v>
      </c>
      <c r="L167">
        <v>1</v>
      </c>
      <c r="M167">
        <v>1</v>
      </c>
      <c r="N167">
        <v>0</v>
      </c>
      <c r="O167">
        <v>0</v>
      </c>
      <c r="P167">
        <v>0</v>
      </c>
      <c r="Q167">
        <v>0</v>
      </c>
      <c r="R167">
        <v>0</v>
      </c>
      <c r="S167">
        <v>0</v>
      </c>
      <c r="T167">
        <v>0</v>
      </c>
      <c r="U167">
        <v>0</v>
      </c>
      <c r="V167">
        <v>0</v>
      </c>
      <c r="W167">
        <v>1</v>
      </c>
      <c r="X167">
        <v>1</v>
      </c>
      <c r="Y167">
        <v>4</v>
      </c>
      <c r="Z167">
        <v>2</v>
      </c>
      <c r="AA167" t="b">
        <v>1</v>
      </c>
    </row>
    <row r="168" spans="1:27" s="5" customFormat="1" x14ac:dyDescent="0.3">
      <c r="A168" s="4" t="s">
        <v>146</v>
      </c>
      <c r="B168" s="4" t="s">
        <v>473</v>
      </c>
      <c r="C168" s="4"/>
      <c r="D168" s="4" t="s">
        <v>146</v>
      </c>
      <c r="E168" s="4" t="s">
        <v>146</v>
      </c>
      <c r="F168" s="4"/>
      <c r="G168" s="4">
        <v>5.0199999999999996</v>
      </c>
      <c r="H168" s="4">
        <v>0</v>
      </c>
      <c r="I168" s="4">
        <v>0</v>
      </c>
      <c r="J168" s="4">
        <v>1</v>
      </c>
      <c r="K168" s="4">
        <v>1</v>
      </c>
      <c r="L168" s="4">
        <v>1</v>
      </c>
      <c r="M168" s="4">
        <v>1</v>
      </c>
      <c r="N168" s="4">
        <v>0</v>
      </c>
      <c r="O168" s="4">
        <v>0</v>
      </c>
      <c r="P168" s="4">
        <v>0</v>
      </c>
      <c r="Q168" s="4">
        <v>0</v>
      </c>
      <c r="R168" s="4">
        <v>0</v>
      </c>
      <c r="S168" s="4">
        <v>1</v>
      </c>
      <c r="T168" s="4">
        <v>0</v>
      </c>
      <c r="U168" s="4">
        <v>0</v>
      </c>
      <c r="V168" s="4">
        <v>0</v>
      </c>
      <c r="W168" s="4">
        <v>1</v>
      </c>
      <c r="X168" s="4">
        <v>1</v>
      </c>
      <c r="Y168" s="4">
        <v>4</v>
      </c>
      <c r="Z168" s="4">
        <v>3</v>
      </c>
      <c r="AA168" s="4" t="b">
        <v>1</v>
      </c>
    </row>
    <row r="169" spans="1:27" s="5" customFormat="1" x14ac:dyDescent="0.3">
      <c r="A169" s="4" t="s">
        <v>146</v>
      </c>
      <c r="B169" s="4" t="s">
        <v>146</v>
      </c>
      <c r="C169" s="4"/>
      <c r="D169" s="4" t="s">
        <v>146</v>
      </c>
      <c r="E169" s="4" t="s">
        <v>146</v>
      </c>
      <c r="F169" s="4"/>
      <c r="G169" s="4">
        <v>5.0199999999999996</v>
      </c>
      <c r="H169" s="4">
        <v>0</v>
      </c>
      <c r="I169" s="4">
        <v>0</v>
      </c>
      <c r="J169" s="4">
        <v>1</v>
      </c>
      <c r="K169" s="4">
        <v>1</v>
      </c>
      <c r="L169" s="4">
        <v>1</v>
      </c>
      <c r="M169" s="4">
        <v>1</v>
      </c>
      <c r="N169" s="4">
        <v>0</v>
      </c>
      <c r="O169" s="4">
        <v>0</v>
      </c>
      <c r="P169" s="4">
        <v>0</v>
      </c>
      <c r="Q169" s="4">
        <v>0</v>
      </c>
      <c r="R169" s="4">
        <v>0</v>
      </c>
      <c r="S169" s="4">
        <v>1</v>
      </c>
      <c r="T169" s="4">
        <v>0</v>
      </c>
      <c r="U169" s="4">
        <v>0</v>
      </c>
      <c r="V169" s="4">
        <v>0</v>
      </c>
      <c r="W169" s="4">
        <v>1</v>
      </c>
      <c r="X169" s="4">
        <v>1</v>
      </c>
      <c r="Y169" s="4">
        <v>4</v>
      </c>
      <c r="Z169" s="4">
        <v>3</v>
      </c>
      <c r="AA169" s="4" t="b">
        <v>1</v>
      </c>
    </row>
    <row r="170" spans="1:27" x14ac:dyDescent="0.3">
      <c r="A170" t="s">
        <v>147</v>
      </c>
      <c r="B170"/>
      <c r="C170" t="s">
        <v>401</v>
      </c>
      <c r="D170"/>
      <c r="E170"/>
      <c r="F170"/>
      <c r="G170">
        <v>4.9886904769999996</v>
      </c>
      <c r="H170">
        <v>0</v>
      </c>
      <c r="I170">
        <v>0</v>
      </c>
      <c r="J170">
        <v>1</v>
      </c>
      <c r="K170">
        <v>1</v>
      </c>
      <c r="L170">
        <v>0</v>
      </c>
      <c r="M170">
        <v>1</v>
      </c>
      <c r="N170">
        <v>0</v>
      </c>
      <c r="O170">
        <v>0</v>
      </c>
      <c r="P170">
        <v>0</v>
      </c>
      <c r="Q170">
        <v>0</v>
      </c>
      <c r="R170">
        <v>0</v>
      </c>
      <c r="S170">
        <v>1</v>
      </c>
      <c r="T170">
        <v>0</v>
      </c>
      <c r="U170">
        <v>0</v>
      </c>
      <c r="V170">
        <v>0</v>
      </c>
      <c r="W170">
        <v>1</v>
      </c>
      <c r="X170">
        <v>1</v>
      </c>
      <c r="Y170">
        <v>3</v>
      </c>
      <c r="Z170">
        <v>3</v>
      </c>
      <c r="AA170" t="b">
        <v>1</v>
      </c>
    </row>
    <row r="171" spans="1:27" x14ac:dyDescent="0.3">
      <c r="A171" t="s">
        <v>148</v>
      </c>
      <c r="B171"/>
      <c r="C171" t="s">
        <v>402</v>
      </c>
      <c r="D171"/>
      <c r="E171"/>
      <c r="F171"/>
      <c r="G171">
        <v>5.1137499999999996</v>
      </c>
      <c r="H171">
        <v>0</v>
      </c>
      <c r="I171">
        <v>0</v>
      </c>
      <c r="J171">
        <v>0</v>
      </c>
      <c r="K171">
        <v>1</v>
      </c>
      <c r="L171">
        <v>0</v>
      </c>
      <c r="M171">
        <v>1</v>
      </c>
      <c r="N171">
        <v>0</v>
      </c>
      <c r="O171">
        <v>0</v>
      </c>
      <c r="P171">
        <v>0</v>
      </c>
      <c r="Q171">
        <v>0</v>
      </c>
      <c r="R171">
        <v>0</v>
      </c>
      <c r="S171">
        <v>1</v>
      </c>
      <c r="T171">
        <v>0</v>
      </c>
      <c r="U171">
        <v>0</v>
      </c>
      <c r="V171">
        <v>0</v>
      </c>
      <c r="W171">
        <v>1</v>
      </c>
      <c r="X171">
        <v>1</v>
      </c>
      <c r="Y171">
        <v>2</v>
      </c>
      <c r="Z171">
        <v>3</v>
      </c>
      <c r="AA171" t="b">
        <v>1</v>
      </c>
    </row>
    <row r="172" spans="1:27" x14ac:dyDescent="0.3">
      <c r="A172" t="s">
        <v>149</v>
      </c>
      <c r="B172" t="s">
        <v>149</v>
      </c>
      <c r="C172"/>
      <c r="D172"/>
      <c r="E172"/>
      <c r="F172" t="s">
        <v>459</v>
      </c>
      <c r="G172">
        <v>4.1741666669999997</v>
      </c>
      <c r="H172">
        <v>1</v>
      </c>
      <c r="I172">
        <v>0</v>
      </c>
      <c r="J172">
        <v>1</v>
      </c>
      <c r="K172">
        <v>0</v>
      </c>
      <c r="L172">
        <v>0</v>
      </c>
      <c r="M172">
        <v>0</v>
      </c>
      <c r="N172">
        <v>1</v>
      </c>
      <c r="O172">
        <v>0</v>
      </c>
      <c r="P172">
        <v>0</v>
      </c>
      <c r="Q172">
        <v>0</v>
      </c>
      <c r="R172">
        <v>0</v>
      </c>
      <c r="S172">
        <v>0</v>
      </c>
      <c r="T172">
        <v>0</v>
      </c>
      <c r="U172">
        <v>0</v>
      </c>
      <c r="V172">
        <v>0</v>
      </c>
      <c r="W172">
        <v>0</v>
      </c>
      <c r="X172">
        <v>0</v>
      </c>
      <c r="Y172">
        <v>3</v>
      </c>
      <c r="Z172">
        <v>0</v>
      </c>
      <c r="AA172" t="b">
        <v>1</v>
      </c>
    </row>
    <row r="173" spans="1:27" x14ac:dyDescent="0.3">
      <c r="A173" t="s">
        <v>150</v>
      </c>
      <c r="B173" t="s">
        <v>403</v>
      </c>
      <c r="C173"/>
      <c r="D173"/>
      <c r="E173"/>
      <c r="F173"/>
      <c r="G173">
        <v>2.2538293650000001</v>
      </c>
      <c r="H173">
        <v>0</v>
      </c>
      <c r="I173">
        <v>0</v>
      </c>
      <c r="J173">
        <v>1</v>
      </c>
      <c r="K173">
        <v>0</v>
      </c>
      <c r="L173">
        <v>0</v>
      </c>
      <c r="M173">
        <v>0</v>
      </c>
      <c r="N173">
        <v>0</v>
      </c>
      <c r="O173">
        <v>0</v>
      </c>
      <c r="P173">
        <v>1</v>
      </c>
      <c r="Q173">
        <v>0</v>
      </c>
      <c r="R173">
        <v>0</v>
      </c>
      <c r="S173">
        <v>0</v>
      </c>
      <c r="T173">
        <v>0</v>
      </c>
      <c r="U173">
        <v>0</v>
      </c>
      <c r="V173">
        <v>0</v>
      </c>
      <c r="W173">
        <v>0</v>
      </c>
      <c r="X173">
        <v>1</v>
      </c>
      <c r="Y173">
        <v>2</v>
      </c>
      <c r="Z173">
        <v>1</v>
      </c>
      <c r="AA173" t="b">
        <v>0</v>
      </c>
    </row>
    <row r="174" spans="1:27" x14ac:dyDescent="0.3">
      <c r="A174" t="s">
        <v>151</v>
      </c>
      <c r="B174" t="s">
        <v>151</v>
      </c>
      <c r="C174"/>
      <c r="D174"/>
      <c r="E174"/>
      <c r="F174"/>
      <c r="G174">
        <v>2.3125</v>
      </c>
      <c r="H174">
        <v>0</v>
      </c>
      <c r="I174">
        <v>0</v>
      </c>
      <c r="J174">
        <v>1</v>
      </c>
      <c r="K174">
        <v>1</v>
      </c>
      <c r="L174">
        <v>0</v>
      </c>
      <c r="M174">
        <v>0</v>
      </c>
      <c r="N174">
        <v>0</v>
      </c>
      <c r="O174">
        <v>0</v>
      </c>
      <c r="P174">
        <v>1</v>
      </c>
      <c r="Q174">
        <v>0</v>
      </c>
      <c r="R174">
        <v>1</v>
      </c>
      <c r="S174">
        <v>0</v>
      </c>
      <c r="T174">
        <v>0</v>
      </c>
      <c r="U174">
        <v>0</v>
      </c>
      <c r="V174">
        <v>0</v>
      </c>
      <c r="W174">
        <v>1</v>
      </c>
      <c r="X174">
        <v>0</v>
      </c>
      <c r="Y174">
        <v>4</v>
      </c>
      <c r="Z174">
        <v>1</v>
      </c>
      <c r="AA174" t="b">
        <v>1</v>
      </c>
    </row>
    <row r="175" spans="1:27" x14ac:dyDescent="0.3">
      <c r="A175" t="s">
        <v>152</v>
      </c>
      <c r="B175" t="s">
        <v>152</v>
      </c>
      <c r="C175"/>
      <c r="D175"/>
      <c r="E175"/>
      <c r="F175" t="s">
        <v>460</v>
      </c>
      <c r="G175">
        <v>3.5466666670000002</v>
      </c>
      <c r="H175">
        <v>1</v>
      </c>
      <c r="I175">
        <v>0</v>
      </c>
      <c r="J175">
        <v>1</v>
      </c>
      <c r="K175">
        <v>1</v>
      </c>
      <c r="L175">
        <v>0</v>
      </c>
      <c r="M175">
        <v>0</v>
      </c>
      <c r="N175">
        <v>0</v>
      </c>
      <c r="O175">
        <v>0</v>
      </c>
      <c r="P175">
        <v>1</v>
      </c>
      <c r="Q175">
        <v>0</v>
      </c>
      <c r="R175">
        <v>0</v>
      </c>
      <c r="S175">
        <v>0</v>
      </c>
      <c r="T175">
        <v>0</v>
      </c>
      <c r="U175">
        <v>0</v>
      </c>
      <c r="V175">
        <v>0</v>
      </c>
      <c r="W175">
        <v>0</v>
      </c>
      <c r="X175">
        <v>1</v>
      </c>
      <c r="Y175">
        <v>4</v>
      </c>
      <c r="Z175">
        <v>1</v>
      </c>
      <c r="AA175" t="b">
        <v>1</v>
      </c>
    </row>
    <row r="176" spans="1:27" x14ac:dyDescent="0.3">
      <c r="A176" t="s">
        <v>153</v>
      </c>
      <c r="B176" t="s">
        <v>153</v>
      </c>
      <c r="C176"/>
      <c r="D176"/>
      <c r="E176"/>
      <c r="F176"/>
      <c r="G176">
        <v>2.6401785719999999</v>
      </c>
      <c r="H176">
        <v>0</v>
      </c>
      <c r="I176">
        <v>1</v>
      </c>
      <c r="J176">
        <v>0</v>
      </c>
      <c r="K176">
        <v>1</v>
      </c>
      <c r="L176">
        <v>0</v>
      </c>
      <c r="M176">
        <v>0</v>
      </c>
      <c r="N176">
        <v>0</v>
      </c>
      <c r="O176">
        <v>0</v>
      </c>
      <c r="P176">
        <v>0</v>
      </c>
      <c r="Q176">
        <v>0</v>
      </c>
      <c r="R176">
        <v>0</v>
      </c>
      <c r="S176">
        <v>0</v>
      </c>
      <c r="T176">
        <v>0</v>
      </c>
      <c r="U176">
        <v>0</v>
      </c>
      <c r="V176">
        <v>0</v>
      </c>
      <c r="W176">
        <v>0</v>
      </c>
      <c r="X176">
        <v>1</v>
      </c>
      <c r="Y176">
        <v>2</v>
      </c>
      <c r="Z176">
        <v>1</v>
      </c>
      <c r="AA176" t="b">
        <v>1</v>
      </c>
    </row>
    <row r="177" spans="1:27" s="2" customFormat="1" x14ac:dyDescent="0.3">
      <c r="A177" s="3"/>
      <c r="B177" s="3"/>
      <c r="C177" s="3" t="s">
        <v>516</v>
      </c>
      <c r="D177" s="3" t="s">
        <v>517</v>
      </c>
      <c r="E177" s="3"/>
      <c r="F177" s="3"/>
      <c r="G177" s="3">
        <f>(5.3+7.1)/2</f>
        <v>6.1999999999999993</v>
      </c>
      <c r="H177" s="3"/>
      <c r="I177" s="3"/>
      <c r="J177" s="3"/>
      <c r="K177" s="3"/>
      <c r="L177" s="3"/>
      <c r="M177" s="3"/>
      <c r="N177" s="3"/>
      <c r="O177" s="3"/>
      <c r="P177" s="3"/>
      <c r="Q177" s="3"/>
      <c r="R177" s="3"/>
      <c r="S177" s="3">
        <v>1</v>
      </c>
      <c r="T177" s="3">
        <v>0</v>
      </c>
      <c r="U177" s="3">
        <v>0</v>
      </c>
      <c r="V177" s="3">
        <v>0</v>
      </c>
      <c r="W177" s="3">
        <v>0</v>
      </c>
      <c r="X177" s="3">
        <v>0</v>
      </c>
      <c r="Y177" s="3"/>
      <c r="Z177" s="3">
        <v>1</v>
      </c>
      <c r="AA177" s="3" t="b">
        <v>0</v>
      </c>
    </row>
    <row r="178" spans="1:27" x14ac:dyDescent="0.3">
      <c r="A178" t="s">
        <v>303</v>
      </c>
      <c r="B178" t="s">
        <v>303</v>
      </c>
      <c r="C178"/>
      <c r="D178" t="s">
        <v>303</v>
      </c>
      <c r="E178" t="s">
        <v>349</v>
      </c>
      <c r="F178"/>
      <c r="G178">
        <v>5.4375</v>
      </c>
      <c r="H178">
        <v>1</v>
      </c>
      <c r="I178">
        <v>0</v>
      </c>
      <c r="J178">
        <v>1</v>
      </c>
      <c r="K178">
        <v>1</v>
      </c>
      <c r="L178">
        <v>0</v>
      </c>
      <c r="M178">
        <v>0</v>
      </c>
      <c r="N178">
        <v>0</v>
      </c>
      <c r="O178">
        <v>0</v>
      </c>
      <c r="P178">
        <v>0</v>
      </c>
      <c r="Q178">
        <v>0</v>
      </c>
      <c r="R178">
        <v>0</v>
      </c>
      <c r="S178">
        <v>1</v>
      </c>
      <c r="T178">
        <v>0</v>
      </c>
      <c r="U178">
        <v>0</v>
      </c>
      <c r="V178">
        <v>0</v>
      </c>
      <c r="W178">
        <v>0</v>
      </c>
      <c r="X178">
        <v>1</v>
      </c>
      <c r="Y178">
        <v>3</v>
      </c>
      <c r="Z178">
        <v>2</v>
      </c>
      <c r="AA178" t="b">
        <v>0</v>
      </c>
    </row>
    <row r="179" spans="1:27" x14ac:dyDescent="0.3">
      <c r="A179" t="s">
        <v>304</v>
      </c>
      <c r="B179" t="s">
        <v>304</v>
      </c>
      <c r="C179"/>
      <c r="D179" t="s">
        <v>304</v>
      </c>
      <c r="E179" t="s">
        <v>350</v>
      </c>
      <c r="F179"/>
      <c r="G179">
        <v>5.2249999999999996</v>
      </c>
      <c r="H179">
        <v>0</v>
      </c>
      <c r="I179">
        <v>0</v>
      </c>
      <c r="J179">
        <v>0</v>
      </c>
      <c r="K179">
        <v>1</v>
      </c>
      <c r="L179">
        <v>0</v>
      </c>
      <c r="M179">
        <v>0</v>
      </c>
      <c r="N179">
        <v>0</v>
      </c>
      <c r="O179">
        <v>0</v>
      </c>
      <c r="P179">
        <v>0</v>
      </c>
      <c r="Q179">
        <v>0</v>
      </c>
      <c r="R179">
        <v>0</v>
      </c>
      <c r="S179">
        <v>1</v>
      </c>
      <c r="T179">
        <v>0</v>
      </c>
      <c r="U179">
        <v>0</v>
      </c>
      <c r="V179">
        <v>0</v>
      </c>
      <c r="W179">
        <v>0</v>
      </c>
      <c r="X179">
        <v>1</v>
      </c>
      <c r="Y179">
        <v>1</v>
      </c>
      <c r="Z179">
        <v>2</v>
      </c>
      <c r="AA179" t="b">
        <v>0</v>
      </c>
    </row>
    <row r="180" spans="1:27" x14ac:dyDescent="0.3">
      <c r="A180" t="s">
        <v>305</v>
      </c>
      <c r="B180" t="s">
        <v>305</v>
      </c>
      <c r="C180"/>
      <c r="D180" t="s">
        <v>305</v>
      </c>
      <c r="E180" t="s">
        <v>351</v>
      </c>
      <c r="F180"/>
      <c r="G180">
        <v>6.4</v>
      </c>
      <c r="H180">
        <v>0</v>
      </c>
      <c r="I180">
        <v>0</v>
      </c>
      <c r="J180">
        <v>0</v>
      </c>
      <c r="K180">
        <v>1</v>
      </c>
      <c r="L180">
        <v>0</v>
      </c>
      <c r="M180">
        <v>0</v>
      </c>
      <c r="N180">
        <v>0</v>
      </c>
      <c r="O180">
        <v>0</v>
      </c>
      <c r="P180">
        <v>0</v>
      </c>
      <c r="Q180">
        <v>0</v>
      </c>
      <c r="R180">
        <v>0</v>
      </c>
      <c r="S180">
        <v>0</v>
      </c>
      <c r="T180">
        <v>0</v>
      </c>
      <c r="U180">
        <v>0</v>
      </c>
      <c r="V180">
        <v>0</v>
      </c>
      <c r="W180">
        <v>0</v>
      </c>
      <c r="X180">
        <v>1</v>
      </c>
      <c r="Y180">
        <v>1</v>
      </c>
      <c r="Z180">
        <v>1</v>
      </c>
      <c r="AA180" t="b">
        <v>0</v>
      </c>
    </row>
    <row r="181" spans="1:27" x14ac:dyDescent="0.3">
      <c r="A181" t="s">
        <v>306</v>
      </c>
      <c r="B181" t="s">
        <v>306</v>
      </c>
      <c r="C181"/>
      <c r="D181" t="s">
        <v>306</v>
      </c>
      <c r="E181" t="s">
        <v>352</v>
      </c>
      <c r="F181"/>
      <c r="G181">
        <v>4.7750000000000004</v>
      </c>
      <c r="H181">
        <v>1</v>
      </c>
      <c r="I181">
        <v>0</v>
      </c>
      <c r="J181">
        <v>0</v>
      </c>
      <c r="K181">
        <v>1</v>
      </c>
      <c r="L181">
        <v>0</v>
      </c>
      <c r="M181">
        <v>0</v>
      </c>
      <c r="N181">
        <v>0</v>
      </c>
      <c r="O181">
        <v>0</v>
      </c>
      <c r="P181">
        <v>0</v>
      </c>
      <c r="Q181">
        <v>0</v>
      </c>
      <c r="R181">
        <v>0</v>
      </c>
      <c r="S181">
        <v>1</v>
      </c>
      <c r="T181">
        <v>0</v>
      </c>
      <c r="U181">
        <v>0</v>
      </c>
      <c r="V181">
        <v>0</v>
      </c>
      <c r="W181">
        <v>0</v>
      </c>
      <c r="X181">
        <v>1</v>
      </c>
      <c r="Y181">
        <v>2</v>
      </c>
      <c r="Z181">
        <v>2</v>
      </c>
      <c r="AA181" t="b">
        <v>0</v>
      </c>
    </row>
    <row r="182" spans="1:27" x14ac:dyDescent="0.3">
      <c r="A182" t="s">
        <v>154</v>
      </c>
      <c r="B182" t="s">
        <v>154</v>
      </c>
      <c r="C182"/>
      <c r="D182" t="s">
        <v>341</v>
      </c>
      <c r="E182"/>
      <c r="F182"/>
      <c r="G182">
        <v>4.3302750000000003</v>
      </c>
      <c r="H182">
        <v>0</v>
      </c>
      <c r="I182">
        <v>1</v>
      </c>
      <c r="J182">
        <v>1</v>
      </c>
      <c r="K182">
        <v>1</v>
      </c>
      <c r="L182">
        <v>1</v>
      </c>
      <c r="M182">
        <v>1</v>
      </c>
      <c r="N182">
        <v>0</v>
      </c>
      <c r="O182">
        <v>0</v>
      </c>
      <c r="P182">
        <v>0</v>
      </c>
      <c r="Q182">
        <v>0</v>
      </c>
      <c r="R182">
        <v>0</v>
      </c>
      <c r="S182">
        <v>0</v>
      </c>
      <c r="T182">
        <v>0</v>
      </c>
      <c r="U182">
        <v>0</v>
      </c>
      <c r="V182">
        <v>0</v>
      </c>
      <c r="W182">
        <v>0</v>
      </c>
      <c r="X182">
        <v>1</v>
      </c>
      <c r="Y182">
        <v>5</v>
      </c>
      <c r="Z182">
        <v>1</v>
      </c>
      <c r="AA182" t="b">
        <v>1</v>
      </c>
    </row>
    <row r="183" spans="1:27" x14ac:dyDescent="0.3">
      <c r="A183" t="s">
        <v>155</v>
      </c>
      <c r="B183" t="s">
        <v>155</v>
      </c>
      <c r="C183"/>
      <c r="D183"/>
      <c r="E183"/>
      <c r="F183"/>
      <c r="G183">
        <v>7.25</v>
      </c>
      <c r="H183">
        <v>1</v>
      </c>
      <c r="I183">
        <v>0</v>
      </c>
      <c r="J183">
        <v>1</v>
      </c>
      <c r="K183">
        <v>1</v>
      </c>
      <c r="L183">
        <v>0</v>
      </c>
      <c r="M183">
        <v>1</v>
      </c>
      <c r="N183">
        <v>0</v>
      </c>
      <c r="O183">
        <v>0</v>
      </c>
      <c r="P183">
        <v>0</v>
      </c>
      <c r="Q183">
        <v>0</v>
      </c>
      <c r="R183">
        <v>0</v>
      </c>
      <c r="S183">
        <v>0</v>
      </c>
      <c r="T183">
        <v>0</v>
      </c>
      <c r="U183">
        <v>0</v>
      </c>
      <c r="V183">
        <v>0</v>
      </c>
      <c r="W183">
        <v>1</v>
      </c>
      <c r="X183">
        <v>0</v>
      </c>
      <c r="Y183">
        <v>4</v>
      </c>
      <c r="Z183">
        <v>1</v>
      </c>
      <c r="AA183" t="b">
        <v>1</v>
      </c>
    </row>
    <row r="184" spans="1:27" x14ac:dyDescent="0.3">
      <c r="A184" t="s">
        <v>156</v>
      </c>
      <c r="B184" t="s">
        <v>156</v>
      </c>
      <c r="C184"/>
      <c r="D184"/>
      <c r="E184"/>
      <c r="F184"/>
      <c r="G184">
        <v>7.77</v>
      </c>
      <c r="H184">
        <v>1</v>
      </c>
      <c r="I184">
        <v>0</v>
      </c>
      <c r="J184">
        <v>1</v>
      </c>
      <c r="K184">
        <v>1</v>
      </c>
      <c r="L184">
        <v>1</v>
      </c>
      <c r="M184">
        <v>1</v>
      </c>
      <c r="N184">
        <v>0</v>
      </c>
      <c r="O184">
        <v>1</v>
      </c>
      <c r="P184">
        <v>1</v>
      </c>
      <c r="Q184">
        <v>0</v>
      </c>
      <c r="R184">
        <v>1</v>
      </c>
      <c r="S184">
        <v>0</v>
      </c>
      <c r="T184">
        <v>0</v>
      </c>
      <c r="U184">
        <v>0</v>
      </c>
      <c r="V184">
        <v>0</v>
      </c>
      <c r="W184">
        <v>1</v>
      </c>
      <c r="X184">
        <v>1</v>
      </c>
      <c r="Y184">
        <v>8</v>
      </c>
      <c r="Z184">
        <v>2</v>
      </c>
      <c r="AA184" t="b">
        <v>0</v>
      </c>
    </row>
    <row r="185" spans="1:27" s="5" customFormat="1" x14ac:dyDescent="0.3">
      <c r="A185" s="4" t="s">
        <v>156</v>
      </c>
      <c r="B185" s="4" t="s">
        <v>482</v>
      </c>
      <c r="C185" s="4"/>
      <c r="D185" s="4" t="s">
        <v>156</v>
      </c>
      <c r="E185" s="4"/>
      <c r="F185" s="4"/>
      <c r="G185" s="4">
        <v>7.77</v>
      </c>
      <c r="H185" s="4">
        <v>1</v>
      </c>
      <c r="I185" s="4">
        <v>0</v>
      </c>
      <c r="J185" s="4">
        <v>1</v>
      </c>
      <c r="K185" s="4">
        <v>1</v>
      </c>
      <c r="L185" s="4">
        <v>1</v>
      </c>
      <c r="M185" s="4">
        <v>1</v>
      </c>
      <c r="N185" s="4">
        <v>0</v>
      </c>
      <c r="O185" s="4">
        <v>1</v>
      </c>
      <c r="P185" s="4">
        <v>1</v>
      </c>
      <c r="Q185" s="4">
        <v>0</v>
      </c>
      <c r="R185" s="4">
        <v>1</v>
      </c>
      <c r="S185" s="4">
        <v>0</v>
      </c>
      <c r="T185" s="4">
        <v>0</v>
      </c>
      <c r="U185" s="4">
        <v>0</v>
      </c>
      <c r="V185" s="4">
        <v>0</v>
      </c>
      <c r="W185" s="4">
        <v>1</v>
      </c>
      <c r="X185" s="4">
        <v>1</v>
      </c>
      <c r="Y185" s="4">
        <v>8</v>
      </c>
      <c r="Z185" s="4">
        <v>2</v>
      </c>
      <c r="AA185" s="4" t="b">
        <v>0</v>
      </c>
    </row>
    <row r="186" spans="1:27" x14ac:dyDescent="0.3">
      <c r="A186" t="s">
        <v>157</v>
      </c>
      <c r="B186" t="s">
        <v>157</v>
      </c>
      <c r="C186"/>
      <c r="D186"/>
      <c r="E186"/>
      <c r="F186"/>
      <c r="G186">
        <v>5.8</v>
      </c>
      <c r="H186">
        <v>1</v>
      </c>
      <c r="I186">
        <v>0</v>
      </c>
      <c r="J186">
        <v>1</v>
      </c>
      <c r="K186">
        <v>1</v>
      </c>
      <c r="L186">
        <v>1</v>
      </c>
      <c r="M186">
        <v>1</v>
      </c>
      <c r="N186">
        <v>0</v>
      </c>
      <c r="O186">
        <v>0</v>
      </c>
      <c r="P186">
        <v>0</v>
      </c>
      <c r="Q186">
        <v>0</v>
      </c>
      <c r="R186">
        <v>0</v>
      </c>
      <c r="S186">
        <v>0</v>
      </c>
      <c r="T186">
        <v>0</v>
      </c>
      <c r="U186">
        <v>0</v>
      </c>
      <c r="V186">
        <v>0</v>
      </c>
      <c r="W186">
        <v>1</v>
      </c>
      <c r="X186">
        <v>0</v>
      </c>
      <c r="Y186">
        <v>5</v>
      </c>
      <c r="Z186">
        <v>1</v>
      </c>
      <c r="AA186" t="b">
        <v>0</v>
      </c>
    </row>
    <row r="187" spans="1:27" x14ac:dyDescent="0.3">
      <c r="A187" t="s">
        <v>158</v>
      </c>
      <c r="B187" t="s">
        <v>404</v>
      </c>
      <c r="C187"/>
      <c r="D187"/>
      <c r="E187"/>
      <c r="F187"/>
      <c r="G187">
        <v>7.016666667</v>
      </c>
      <c r="H187">
        <v>1</v>
      </c>
      <c r="I187">
        <v>1</v>
      </c>
      <c r="J187">
        <v>1</v>
      </c>
      <c r="K187">
        <v>1</v>
      </c>
      <c r="L187">
        <v>0</v>
      </c>
      <c r="M187">
        <v>0</v>
      </c>
      <c r="N187">
        <v>0</v>
      </c>
      <c r="O187">
        <v>0</v>
      </c>
      <c r="P187">
        <v>0</v>
      </c>
      <c r="Q187">
        <v>0</v>
      </c>
      <c r="R187">
        <v>0</v>
      </c>
      <c r="S187">
        <v>0</v>
      </c>
      <c r="T187">
        <v>0</v>
      </c>
      <c r="U187">
        <v>0</v>
      </c>
      <c r="V187">
        <v>0</v>
      </c>
      <c r="W187">
        <v>1</v>
      </c>
      <c r="X187">
        <v>1</v>
      </c>
      <c r="Y187">
        <v>4</v>
      </c>
      <c r="Z187">
        <v>2</v>
      </c>
      <c r="AA187" t="b">
        <v>0</v>
      </c>
    </row>
    <row r="188" spans="1:27" x14ac:dyDescent="0.3">
      <c r="A188" t="s">
        <v>159</v>
      </c>
      <c r="B188"/>
      <c r="C188" t="s">
        <v>405</v>
      </c>
      <c r="D188"/>
      <c r="E188"/>
      <c r="F188"/>
      <c r="G188">
        <v>3.5</v>
      </c>
      <c r="H188">
        <v>1</v>
      </c>
      <c r="I188">
        <v>1</v>
      </c>
      <c r="J188">
        <v>0</v>
      </c>
      <c r="K188">
        <v>0</v>
      </c>
      <c r="L188">
        <v>0</v>
      </c>
      <c r="M188">
        <v>1</v>
      </c>
      <c r="N188">
        <v>0</v>
      </c>
      <c r="O188">
        <v>0</v>
      </c>
      <c r="P188">
        <v>0</v>
      </c>
      <c r="Q188">
        <v>0</v>
      </c>
      <c r="R188">
        <v>0</v>
      </c>
      <c r="S188">
        <v>0</v>
      </c>
      <c r="T188">
        <v>0</v>
      </c>
      <c r="U188">
        <v>0</v>
      </c>
      <c r="V188">
        <v>0</v>
      </c>
      <c r="W188">
        <v>1</v>
      </c>
      <c r="X188">
        <v>1</v>
      </c>
      <c r="Y188">
        <v>3</v>
      </c>
      <c r="Z188">
        <v>2</v>
      </c>
      <c r="AA188" t="b">
        <v>0</v>
      </c>
    </row>
    <row r="189" spans="1:27" x14ac:dyDescent="0.3">
      <c r="A189" t="s">
        <v>160</v>
      </c>
      <c r="B189"/>
      <c r="C189" t="s">
        <v>406</v>
      </c>
      <c r="D189"/>
      <c r="E189"/>
      <c r="F189"/>
      <c r="G189">
        <v>2.52</v>
      </c>
      <c r="H189">
        <v>0</v>
      </c>
      <c r="I189">
        <v>0</v>
      </c>
      <c r="J189">
        <v>0</v>
      </c>
      <c r="K189">
        <v>1</v>
      </c>
      <c r="L189">
        <v>1</v>
      </c>
      <c r="M189">
        <v>1</v>
      </c>
      <c r="N189">
        <v>0</v>
      </c>
      <c r="O189">
        <v>0</v>
      </c>
      <c r="P189">
        <v>1</v>
      </c>
      <c r="Q189">
        <v>0</v>
      </c>
      <c r="R189">
        <v>1</v>
      </c>
      <c r="S189">
        <v>0</v>
      </c>
      <c r="T189">
        <v>0</v>
      </c>
      <c r="U189">
        <v>0</v>
      </c>
      <c r="V189">
        <v>0</v>
      </c>
      <c r="W189">
        <v>0</v>
      </c>
      <c r="X189">
        <v>1</v>
      </c>
      <c r="Y189">
        <v>5</v>
      </c>
      <c r="Z189">
        <v>1</v>
      </c>
      <c r="AA189" t="b">
        <v>0</v>
      </c>
    </row>
    <row r="190" spans="1:27" x14ac:dyDescent="0.3">
      <c r="A190" t="s">
        <v>308</v>
      </c>
      <c r="B190"/>
      <c r="C190" t="s">
        <v>407</v>
      </c>
      <c r="D190" t="s">
        <v>321</v>
      </c>
      <c r="E190" t="s">
        <v>321</v>
      </c>
      <c r="F190"/>
      <c r="G190" t="s">
        <v>321</v>
      </c>
      <c r="H190" t="s">
        <v>321</v>
      </c>
      <c r="I190" t="s">
        <v>321</v>
      </c>
      <c r="J190" t="s">
        <v>321</v>
      </c>
      <c r="K190" t="s">
        <v>321</v>
      </c>
      <c r="L190" t="s">
        <v>321</v>
      </c>
      <c r="M190" t="s">
        <v>321</v>
      </c>
      <c r="N190" t="s">
        <v>321</v>
      </c>
      <c r="O190" t="s">
        <v>321</v>
      </c>
      <c r="P190" t="s">
        <v>321</v>
      </c>
      <c r="Q190" t="s">
        <v>321</v>
      </c>
      <c r="R190" t="s">
        <v>321</v>
      </c>
      <c r="S190" t="s">
        <v>321</v>
      </c>
      <c r="T190" t="s">
        <v>321</v>
      </c>
      <c r="U190" t="s">
        <v>321</v>
      </c>
      <c r="V190" t="s">
        <v>321</v>
      </c>
      <c r="W190" t="s">
        <v>321</v>
      </c>
      <c r="X190" t="s">
        <v>321</v>
      </c>
      <c r="Y190" t="s">
        <v>321</v>
      </c>
      <c r="Z190" t="s">
        <v>321</v>
      </c>
      <c r="AA190" t="b">
        <v>0</v>
      </c>
    </row>
    <row r="191" spans="1:27" x14ac:dyDescent="0.3">
      <c r="A191" t="s">
        <v>161</v>
      </c>
      <c r="B191"/>
      <c r="C191" t="s">
        <v>408</v>
      </c>
      <c r="D191"/>
      <c r="E191"/>
      <c r="F191"/>
      <c r="G191">
        <v>2.6</v>
      </c>
      <c r="H191">
        <v>1</v>
      </c>
      <c r="I191">
        <v>1</v>
      </c>
      <c r="J191">
        <v>0</v>
      </c>
      <c r="K191">
        <v>0</v>
      </c>
      <c r="L191">
        <v>0</v>
      </c>
      <c r="M191">
        <v>0</v>
      </c>
      <c r="N191">
        <v>0</v>
      </c>
      <c r="O191">
        <v>0</v>
      </c>
      <c r="P191">
        <v>0</v>
      </c>
      <c r="Q191">
        <v>0</v>
      </c>
      <c r="R191">
        <v>0</v>
      </c>
      <c r="S191">
        <v>0</v>
      </c>
      <c r="T191">
        <v>0</v>
      </c>
      <c r="U191">
        <v>0</v>
      </c>
      <c r="V191">
        <v>1</v>
      </c>
      <c r="W191">
        <v>0</v>
      </c>
      <c r="X191">
        <v>0</v>
      </c>
      <c r="Y191">
        <v>2</v>
      </c>
      <c r="Z191">
        <v>1</v>
      </c>
      <c r="AA191" t="b">
        <v>0</v>
      </c>
    </row>
    <row r="192" spans="1:27" x14ac:dyDescent="0.3">
      <c r="A192" t="s">
        <v>162</v>
      </c>
      <c r="B192"/>
      <c r="C192" t="s">
        <v>409</v>
      </c>
      <c r="D192"/>
      <c r="E192"/>
      <c r="F192"/>
      <c r="G192">
        <v>2.1749999999999998</v>
      </c>
      <c r="H192">
        <v>1</v>
      </c>
      <c r="I192">
        <v>1</v>
      </c>
      <c r="J192">
        <v>1</v>
      </c>
      <c r="K192">
        <v>1</v>
      </c>
      <c r="L192">
        <v>1</v>
      </c>
      <c r="M192">
        <v>0</v>
      </c>
      <c r="N192">
        <v>0</v>
      </c>
      <c r="O192">
        <v>0</v>
      </c>
      <c r="P192">
        <v>0</v>
      </c>
      <c r="Q192">
        <v>0</v>
      </c>
      <c r="R192">
        <v>1</v>
      </c>
      <c r="S192">
        <v>0</v>
      </c>
      <c r="T192">
        <v>0</v>
      </c>
      <c r="U192">
        <v>0</v>
      </c>
      <c r="V192">
        <v>0</v>
      </c>
      <c r="W192">
        <v>0</v>
      </c>
      <c r="X192">
        <v>1</v>
      </c>
      <c r="Y192">
        <v>6</v>
      </c>
      <c r="Z192">
        <v>1</v>
      </c>
      <c r="AA192" t="b">
        <v>0</v>
      </c>
    </row>
    <row r="193" spans="1:27" x14ac:dyDescent="0.3">
      <c r="A193" t="s">
        <v>163</v>
      </c>
      <c r="B193"/>
      <c r="C193" t="s">
        <v>410</v>
      </c>
      <c r="D193"/>
      <c r="E193"/>
      <c r="F193"/>
      <c r="G193">
        <v>2.94</v>
      </c>
      <c r="H193">
        <v>0</v>
      </c>
      <c r="I193">
        <v>0</v>
      </c>
      <c r="J193">
        <v>0</v>
      </c>
      <c r="K193">
        <v>1</v>
      </c>
      <c r="L193">
        <v>0</v>
      </c>
      <c r="M193">
        <v>1</v>
      </c>
      <c r="N193">
        <v>0</v>
      </c>
      <c r="O193">
        <v>0</v>
      </c>
      <c r="P193">
        <v>0</v>
      </c>
      <c r="Q193">
        <v>0</v>
      </c>
      <c r="R193">
        <v>1</v>
      </c>
      <c r="S193">
        <v>0</v>
      </c>
      <c r="T193">
        <v>0</v>
      </c>
      <c r="U193">
        <v>0</v>
      </c>
      <c r="V193">
        <v>0</v>
      </c>
      <c r="W193">
        <v>1</v>
      </c>
      <c r="X193">
        <v>0</v>
      </c>
      <c r="Y193">
        <v>3</v>
      </c>
      <c r="Z193">
        <v>1</v>
      </c>
      <c r="AA193" t="b">
        <v>1</v>
      </c>
    </row>
    <row r="194" spans="1:27" x14ac:dyDescent="0.3">
      <c r="A194" t="s">
        <v>164</v>
      </c>
      <c r="B194"/>
      <c r="C194" t="s">
        <v>411</v>
      </c>
      <c r="D194"/>
      <c r="E194"/>
      <c r="F194"/>
      <c r="G194">
        <v>3.0333333339999999</v>
      </c>
      <c r="H194">
        <v>1</v>
      </c>
      <c r="I194">
        <v>0</v>
      </c>
      <c r="J194">
        <v>1</v>
      </c>
      <c r="K194">
        <v>1</v>
      </c>
      <c r="L194">
        <v>0</v>
      </c>
      <c r="M194">
        <v>0</v>
      </c>
      <c r="N194">
        <v>1</v>
      </c>
      <c r="O194">
        <v>0</v>
      </c>
      <c r="P194">
        <v>1</v>
      </c>
      <c r="Q194">
        <v>0</v>
      </c>
      <c r="R194">
        <v>0</v>
      </c>
      <c r="S194">
        <v>0</v>
      </c>
      <c r="T194">
        <v>0</v>
      </c>
      <c r="U194">
        <v>0</v>
      </c>
      <c r="V194">
        <v>0</v>
      </c>
      <c r="W194">
        <v>0</v>
      </c>
      <c r="X194">
        <v>1</v>
      </c>
      <c r="Y194">
        <v>5</v>
      </c>
      <c r="Z194">
        <v>1</v>
      </c>
      <c r="AA194" t="b">
        <v>0</v>
      </c>
    </row>
    <row r="195" spans="1:27" x14ac:dyDescent="0.3">
      <c r="A195" t="s">
        <v>165</v>
      </c>
      <c r="B195" s="3" t="s">
        <v>412</v>
      </c>
      <c r="C195" t="s">
        <v>412</v>
      </c>
      <c r="D195" t="s">
        <v>165</v>
      </c>
      <c r="E195"/>
      <c r="F195"/>
      <c r="G195">
        <v>3.66</v>
      </c>
      <c r="H195">
        <v>1</v>
      </c>
      <c r="I195">
        <v>1</v>
      </c>
      <c r="J195">
        <v>1</v>
      </c>
      <c r="K195">
        <v>1</v>
      </c>
      <c r="L195">
        <v>0</v>
      </c>
      <c r="M195">
        <v>1</v>
      </c>
      <c r="N195">
        <v>1</v>
      </c>
      <c r="O195">
        <v>0</v>
      </c>
      <c r="P195">
        <v>0</v>
      </c>
      <c r="Q195">
        <v>0</v>
      </c>
      <c r="R195">
        <v>0</v>
      </c>
      <c r="S195">
        <v>0</v>
      </c>
      <c r="T195">
        <v>0</v>
      </c>
      <c r="U195">
        <v>0</v>
      </c>
      <c r="V195">
        <v>0</v>
      </c>
      <c r="W195">
        <v>0</v>
      </c>
      <c r="X195">
        <v>1</v>
      </c>
      <c r="Y195">
        <v>6</v>
      </c>
      <c r="Z195">
        <v>1</v>
      </c>
      <c r="AA195" t="b">
        <v>0</v>
      </c>
    </row>
    <row r="196" spans="1:27" x14ac:dyDescent="0.3">
      <c r="A196" t="s">
        <v>166</v>
      </c>
      <c r="B196"/>
      <c r="C196" t="s">
        <v>413</v>
      </c>
      <c r="D196"/>
      <c r="E196"/>
      <c r="F196"/>
      <c r="G196">
        <v>2.8</v>
      </c>
      <c r="H196">
        <v>1</v>
      </c>
      <c r="I196">
        <v>1</v>
      </c>
      <c r="J196">
        <v>0</v>
      </c>
      <c r="K196">
        <v>0</v>
      </c>
      <c r="L196">
        <v>0</v>
      </c>
      <c r="M196">
        <v>1</v>
      </c>
      <c r="N196">
        <v>1</v>
      </c>
      <c r="O196">
        <v>0</v>
      </c>
      <c r="P196">
        <v>0</v>
      </c>
      <c r="Q196">
        <v>0</v>
      </c>
      <c r="R196">
        <v>1</v>
      </c>
      <c r="S196">
        <v>0</v>
      </c>
      <c r="T196">
        <v>0</v>
      </c>
      <c r="U196">
        <v>0</v>
      </c>
      <c r="V196">
        <v>0</v>
      </c>
      <c r="W196">
        <v>0</v>
      </c>
      <c r="X196">
        <v>0</v>
      </c>
      <c r="Y196">
        <v>5</v>
      </c>
      <c r="Z196">
        <v>0</v>
      </c>
      <c r="AA196" t="b">
        <v>0</v>
      </c>
    </row>
    <row r="197" spans="1:27" x14ac:dyDescent="0.3">
      <c r="A197" t="s">
        <v>167</v>
      </c>
      <c r="B197"/>
      <c r="C197" t="s">
        <v>414</v>
      </c>
      <c r="D197"/>
      <c r="E197"/>
      <c r="F197"/>
      <c r="G197">
        <v>2.9125000000000001</v>
      </c>
      <c r="H197">
        <v>0</v>
      </c>
      <c r="I197">
        <v>0</v>
      </c>
      <c r="J197">
        <v>0</v>
      </c>
      <c r="K197">
        <v>1</v>
      </c>
      <c r="L197">
        <v>1</v>
      </c>
      <c r="M197">
        <v>1</v>
      </c>
      <c r="N197">
        <v>1</v>
      </c>
      <c r="O197">
        <v>0</v>
      </c>
      <c r="P197">
        <v>0</v>
      </c>
      <c r="Q197">
        <v>1</v>
      </c>
      <c r="R197">
        <v>1</v>
      </c>
      <c r="S197">
        <v>0</v>
      </c>
      <c r="T197">
        <v>0</v>
      </c>
      <c r="U197">
        <v>0</v>
      </c>
      <c r="V197">
        <v>0</v>
      </c>
      <c r="W197">
        <v>0</v>
      </c>
      <c r="X197">
        <v>0</v>
      </c>
      <c r="Y197">
        <v>6</v>
      </c>
      <c r="Z197">
        <v>0</v>
      </c>
      <c r="AA197" t="b">
        <v>0</v>
      </c>
    </row>
    <row r="198" spans="1:27" x14ac:dyDescent="0.3">
      <c r="A198" t="s">
        <v>168</v>
      </c>
      <c r="B198" t="s">
        <v>518</v>
      </c>
      <c r="C198"/>
      <c r="D198" t="s">
        <v>505</v>
      </c>
      <c r="E198"/>
      <c r="F198"/>
      <c r="G198">
        <v>2.8250000000000002</v>
      </c>
      <c r="H198">
        <v>1</v>
      </c>
      <c r="I198">
        <v>1</v>
      </c>
      <c r="J198">
        <v>0</v>
      </c>
      <c r="K198">
        <v>0</v>
      </c>
      <c r="L198">
        <v>1</v>
      </c>
      <c r="M198">
        <v>1</v>
      </c>
      <c r="N198">
        <v>0</v>
      </c>
      <c r="O198">
        <v>0</v>
      </c>
      <c r="P198">
        <v>0</v>
      </c>
      <c r="Q198">
        <v>0</v>
      </c>
      <c r="R198">
        <v>0</v>
      </c>
      <c r="S198">
        <v>0</v>
      </c>
      <c r="T198">
        <v>0</v>
      </c>
      <c r="U198">
        <v>0</v>
      </c>
      <c r="V198">
        <v>0</v>
      </c>
      <c r="W198">
        <v>0</v>
      </c>
      <c r="X198">
        <v>1</v>
      </c>
      <c r="Y198">
        <v>4</v>
      </c>
      <c r="Z198">
        <v>1</v>
      </c>
      <c r="AA198" t="b">
        <v>1</v>
      </c>
    </row>
    <row r="199" spans="1:27" x14ac:dyDescent="0.3">
      <c r="A199" t="s">
        <v>168</v>
      </c>
      <c r="B199" t="s">
        <v>415</v>
      </c>
      <c r="C199"/>
      <c r="D199" t="s">
        <v>505</v>
      </c>
      <c r="E199"/>
      <c r="F199"/>
      <c r="G199">
        <v>2.8250000000000002</v>
      </c>
      <c r="H199">
        <v>1</v>
      </c>
      <c r="I199">
        <v>1</v>
      </c>
      <c r="J199">
        <v>0</v>
      </c>
      <c r="K199">
        <v>0</v>
      </c>
      <c r="L199">
        <v>1</v>
      </c>
      <c r="M199">
        <v>1</v>
      </c>
      <c r="N199">
        <v>0</v>
      </c>
      <c r="O199">
        <v>0</v>
      </c>
      <c r="P199">
        <v>0</v>
      </c>
      <c r="Q199">
        <v>0</v>
      </c>
      <c r="R199">
        <v>0</v>
      </c>
      <c r="S199">
        <v>0</v>
      </c>
      <c r="T199">
        <v>0</v>
      </c>
      <c r="U199">
        <v>0</v>
      </c>
      <c r="V199">
        <v>0</v>
      </c>
      <c r="W199">
        <v>0</v>
      </c>
      <c r="X199">
        <v>1</v>
      </c>
      <c r="Y199">
        <v>4</v>
      </c>
      <c r="Z199">
        <v>1</v>
      </c>
      <c r="AA199" t="b">
        <v>1</v>
      </c>
    </row>
    <row r="200" spans="1:27" x14ac:dyDescent="0.3">
      <c r="A200" t="s">
        <v>169</v>
      </c>
      <c r="B200" t="s">
        <v>169</v>
      </c>
      <c r="C200"/>
      <c r="D200"/>
      <c r="E200"/>
      <c r="F200"/>
      <c r="G200">
        <v>7.4583333339999998</v>
      </c>
      <c r="H200">
        <v>1</v>
      </c>
      <c r="I200">
        <v>0</v>
      </c>
      <c r="J200">
        <v>0</v>
      </c>
      <c r="K200">
        <v>1</v>
      </c>
      <c r="L200">
        <v>0</v>
      </c>
      <c r="M200">
        <v>1</v>
      </c>
      <c r="N200">
        <v>0</v>
      </c>
      <c r="O200">
        <v>0</v>
      </c>
      <c r="P200">
        <v>0</v>
      </c>
      <c r="Q200">
        <v>0</v>
      </c>
      <c r="R200">
        <v>0</v>
      </c>
      <c r="S200">
        <v>0</v>
      </c>
      <c r="T200">
        <v>0</v>
      </c>
      <c r="U200">
        <v>0</v>
      </c>
      <c r="V200">
        <v>1</v>
      </c>
      <c r="W200">
        <v>0</v>
      </c>
      <c r="X200">
        <v>0</v>
      </c>
      <c r="Y200">
        <v>3</v>
      </c>
      <c r="Z200">
        <v>1</v>
      </c>
      <c r="AA200" t="b">
        <v>1</v>
      </c>
    </row>
    <row r="201" spans="1:27" x14ac:dyDescent="0.3">
      <c r="A201" t="s">
        <v>335</v>
      </c>
      <c r="B201" t="s">
        <v>416</v>
      </c>
      <c r="C201"/>
      <c r="D201" t="s">
        <v>335</v>
      </c>
      <c r="E201" t="s">
        <v>335</v>
      </c>
      <c r="F201"/>
      <c r="G201">
        <v>4.2083149999999998</v>
      </c>
      <c r="H201">
        <v>1</v>
      </c>
      <c r="I201">
        <v>0</v>
      </c>
      <c r="J201">
        <v>0</v>
      </c>
      <c r="K201">
        <v>1</v>
      </c>
      <c r="L201">
        <v>0</v>
      </c>
      <c r="M201">
        <v>0</v>
      </c>
      <c r="N201">
        <v>1</v>
      </c>
      <c r="O201">
        <v>0</v>
      </c>
      <c r="P201">
        <v>0</v>
      </c>
      <c r="Q201">
        <v>0</v>
      </c>
      <c r="R201">
        <v>0</v>
      </c>
      <c r="S201">
        <v>1</v>
      </c>
      <c r="T201">
        <v>0</v>
      </c>
      <c r="U201">
        <v>0</v>
      </c>
      <c r="V201">
        <v>0</v>
      </c>
      <c r="W201">
        <v>0</v>
      </c>
      <c r="X201">
        <v>1</v>
      </c>
      <c r="Y201">
        <v>3</v>
      </c>
      <c r="Z201">
        <v>2</v>
      </c>
      <c r="AA201" t="b">
        <v>0</v>
      </c>
    </row>
    <row r="202" spans="1:27" x14ac:dyDescent="0.3">
      <c r="A202" t="s">
        <v>336</v>
      </c>
      <c r="B202" t="s">
        <v>417</v>
      </c>
      <c r="C202"/>
      <c r="D202" t="s">
        <v>336</v>
      </c>
      <c r="E202" t="s">
        <v>336</v>
      </c>
      <c r="F202"/>
      <c r="G202">
        <v>4.0999850000000002</v>
      </c>
      <c r="H202">
        <v>0</v>
      </c>
      <c r="I202">
        <v>0</v>
      </c>
      <c r="J202">
        <v>0</v>
      </c>
      <c r="K202">
        <v>1</v>
      </c>
      <c r="L202">
        <v>1</v>
      </c>
      <c r="M202">
        <v>0</v>
      </c>
      <c r="N202">
        <v>0</v>
      </c>
      <c r="O202">
        <v>0</v>
      </c>
      <c r="P202">
        <v>0</v>
      </c>
      <c r="Q202">
        <v>0</v>
      </c>
      <c r="R202">
        <v>0</v>
      </c>
      <c r="S202">
        <v>1</v>
      </c>
      <c r="T202">
        <v>0</v>
      </c>
      <c r="U202">
        <v>0</v>
      </c>
      <c r="V202">
        <v>0</v>
      </c>
      <c r="W202">
        <v>0</v>
      </c>
      <c r="X202">
        <v>0</v>
      </c>
      <c r="Y202">
        <v>2</v>
      </c>
      <c r="Z202">
        <v>1</v>
      </c>
      <c r="AA202" t="b">
        <v>0</v>
      </c>
    </row>
    <row r="203" spans="1:27" x14ac:dyDescent="0.3">
      <c r="A203" t="s">
        <v>170</v>
      </c>
      <c r="B203" t="s">
        <v>170</v>
      </c>
      <c r="C203"/>
      <c r="D203"/>
      <c r="E203"/>
      <c r="F203"/>
      <c r="G203">
        <v>4.1500000000000004</v>
      </c>
      <c r="H203">
        <v>1</v>
      </c>
      <c r="I203">
        <v>0</v>
      </c>
      <c r="J203">
        <v>0</v>
      </c>
      <c r="K203">
        <v>0</v>
      </c>
      <c r="L203">
        <v>1</v>
      </c>
      <c r="M203">
        <v>1</v>
      </c>
      <c r="N203">
        <v>1</v>
      </c>
      <c r="O203">
        <v>0</v>
      </c>
      <c r="P203">
        <v>0</v>
      </c>
      <c r="Q203">
        <v>0</v>
      </c>
      <c r="R203">
        <v>0</v>
      </c>
      <c r="S203">
        <v>0</v>
      </c>
      <c r="T203">
        <v>0</v>
      </c>
      <c r="U203">
        <v>0</v>
      </c>
      <c r="V203">
        <v>0</v>
      </c>
      <c r="W203">
        <v>1</v>
      </c>
      <c r="X203">
        <v>1</v>
      </c>
      <c r="Y203">
        <v>4</v>
      </c>
      <c r="Z203">
        <v>2</v>
      </c>
      <c r="AA203" t="b">
        <v>0</v>
      </c>
    </row>
    <row r="204" spans="1:27" x14ac:dyDescent="0.3">
      <c r="A204" t="s">
        <v>171</v>
      </c>
      <c r="B204" t="s">
        <v>171</v>
      </c>
      <c r="C204"/>
      <c r="D204" t="s">
        <v>504</v>
      </c>
      <c r="E204"/>
      <c r="F204"/>
      <c r="G204" t="s">
        <v>321</v>
      </c>
      <c r="H204">
        <v>0</v>
      </c>
      <c r="I204">
        <v>1</v>
      </c>
      <c r="J204">
        <v>1</v>
      </c>
      <c r="K204">
        <v>1</v>
      </c>
      <c r="L204">
        <v>0</v>
      </c>
      <c r="M204">
        <v>1</v>
      </c>
      <c r="N204">
        <v>0</v>
      </c>
      <c r="O204">
        <v>0</v>
      </c>
      <c r="P204">
        <v>0</v>
      </c>
      <c r="Q204">
        <v>0</v>
      </c>
      <c r="R204">
        <v>0</v>
      </c>
      <c r="S204">
        <v>0</v>
      </c>
      <c r="T204">
        <v>0</v>
      </c>
      <c r="U204">
        <v>0</v>
      </c>
      <c r="V204">
        <v>0</v>
      </c>
      <c r="W204">
        <v>1</v>
      </c>
      <c r="X204">
        <v>1</v>
      </c>
      <c r="Y204">
        <v>4</v>
      </c>
      <c r="Z204">
        <v>2</v>
      </c>
      <c r="AA204" t="b">
        <v>0</v>
      </c>
    </row>
    <row r="205" spans="1:27" x14ac:dyDescent="0.3">
      <c r="A205" t="s">
        <v>172</v>
      </c>
      <c r="B205" t="s">
        <v>172</v>
      </c>
      <c r="C205"/>
      <c r="D205"/>
      <c r="E205"/>
      <c r="F205"/>
      <c r="G205">
        <v>2.0499999999999998</v>
      </c>
      <c r="H205">
        <v>0</v>
      </c>
      <c r="I205">
        <v>1</v>
      </c>
      <c r="J205">
        <v>0</v>
      </c>
      <c r="K205">
        <v>0</v>
      </c>
      <c r="L205">
        <v>0</v>
      </c>
      <c r="M205">
        <v>1</v>
      </c>
      <c r="N205">
        <v>0</v>
      </c>
      <c r="O205">
        <v>0</v>
      </c>
      <c r="P205">
        <v>1</v>
      </c>
      <c r="Q205">
        <v>0</v>
      </c>
      <c r="R205">
        <v>0</v>
      </c>
      <c r="S205">
        <v>0</v>
      </c>
      <c r="T205">
        <v>0</v>
      </c>
      <c r="U205">
        <v>0</v>
      </c>
      <c r="V205">
        <v>1</v>
      </c>
      <c r="W205">
        <v>0</v>
      </c>
      <c r="X205">
        <v>0</v>
      </c>
      <c r="Y205">
        <v>3</v>
      </c>
      <c r="Z205">
        <v>1</v>
      </c>
      <c r="AA205" t="b">
        <v>0</v>
      </c>
    </row>
    <row r="206" spans="1:27" x14ac:dyDescent="0.3">
      <c r="A206" t="s">
        <v>173</v>
      </c>
      <c r="B206" t="s">
        <v>173</v>
      </c>
      <c r="C206"/>
      <c r="D206"/>
      <c r="E206"/>
      <c r="F206"/>
      <c r="G206">
        <v>1.95</v>
      </c>
      <c r="H206">
        <v>1</v>
      </c>
      <c r="I206">
        <v>1</v>
      </c>
      <c r="J206">
        <v>1</v>
      </c>
      <c r="K206">
        <v>1</v>
      </c>
      <c r="L206">
        <v>1</v>
      </c>
      <c r="M206">
        <v>0</v>
      </c>
      <c r="N206">
        <v>0</v>
      </c>
      <c r="O206">
        <v>0</v>
      </c>
      <c r="P206">
        <v>1</v>
      </c>
      <c r="Q206">
        <v>0</v>
      </c>
      <c r="R206">
        <v>0</v>
      </c>
      <c r="S206">
        <v>0</v>
      </c>
      <c r="T206">
        <v>0</v>
      </c>
      <c r="U206">
        <v>0</v>
      </c>
      <c r="V206">
        <v>0</v>
      </c>
      <c r="W206">
        <v>0</v>
      </c>
      <c r="X206">
        <v>0</v>
      </c>
      <c r="Y206">
        <v>6</v>
      </c>
      <c r="Z206">
        <v>0</v>
      </c>
      <c r="AA206" t="b">
        <v>0</v>
      </c>
    </row>
    <row r="207" spans="1:27" x14ac:dyDescent="0.3">
      <c r="A207" t="s">
        <v>174</v>
      </c>
      <c r="B207" t="s">
        <v>174</v>
      </c>
      <c r="C207"/>
      <c r="D207"/>
      <c r="E207"/>
      <c r="F207"/>
      <c r="G207">
        <v>7</v>
      </c>
      <c r="H207">
        <v>1</v>
      </c>
      <c r="I207">
        <v>0</v>
      </c>
      <c r="J207">
        <v>1</v>
      </c>
      <c r="K207">
        <v>0</v>
      </c>
      <c r="L207">
        <v>0</v>
      </c>
      <c r="M207">
        <v>0</v>
      </c>
      <c r="N207">
        <v>0</v>
      </c>
      <c r="O207">
        <v>0</v>
      </c>
      <c r="P207">
        <v>1</v>
      </c>
      <c r="Q207">
        <v>0</v>
      </c>
      <c r="R207">
        <v>0</v>
      </c>
      <c r="S207">
        <v>0</v>
      </c>
      <c r="T207">
        <v>0</v>
      </c>
      <c r="U207">
        <v>0</v>
      </c>
      <c r="V207">
        <v>0</v>
      </c>
      <c r="W207">
        <v>1</v>
      </c>
      <c r="X207">
        <v>1</v>
      </c>
      <c r="Y207">
        <v>3</v>
      </c>
      <c r="Z207">
        <v>2</v>
      </c>
      <c r="AA207" t="b">
        <v>1</v>
      </c>
    </row>
    <row r="208" spans="1:27" x14ac:dyDescent="0.3">
      <c r="A208" t="s">
        <v>175</v>
      </c>
      <c r="B208" t="s">
        <v>175</v>
      </c>
      <c r="C208"/>
      <c r="D208"/>
      <c r="E208"/>
      <c r="F208"/>
      <c r="G208">
        <v>2.6048437500000001</v>
      </c>
      <c r="H208">
        <v>0</v>
      </c>
      <c r="I208">
        <v>0</v>
      </c>
      <c r="J208">
        <v>0</v>
      </c>
      <c r="K208">
        <v>1</v>
      </c>
      <c r="L208">
        <v>0</v>
      </c>
      <c r="M208">
        <v>0</v>
      </c>
      <c r="N208">
        <v>1</v>
      </c>
      <c r="O208">
        <v>0</v>
      </c>
      <c r="P208">
        <v>0</v>
      </c>
      <c r="Q208">
        <v>0</v>
      </c>
      <c r="R208">
        <v>0</v>
      </c>
      <c r="S208">
        <v>0</v>
      </c>
      <c r="T208">
        <v>0</v>
      </c>
      <c r="U208">
        <v>0</v>
      </c>
      <c r="V208">
        <v>0</v>
      </c>
      <c r="W208">
        <v>0</v>
      </c>
      <c r="X208">
        <v>1</v>
      </c>
      <c r="Y208">
        <v>2</v>
      </c>
      <c r="Z208">
        <v>1</v>
      </c>
      <c r="AA208" t="b">
        <v>0</v>
      </c>
    </row>
    <row r="209" spans="1:27" x14ac:dyDescent="0.3">
      <c r="A209" t="s">
        <v>176</v>
      </c>
      <c r="B209" t="s">
        <v>176</v>
      </c>
      <c r="C209"/>
      <c r="D209"/>
      <c r="E209"/>
      <c r="F209"/>
      <c r="G209">
        <v>2.7025000000000001</v>
      </c>
      <c r="H209">
        <v>0</v>
      </c>
      <c r="I209">
        <v>0</v>
      </c>
      <c r="J209">
        <v>0</v>
      </c>
      <c r="K209">
        <v>1</v>
      </c>
      <c r="L209">
        <v>0</v>
      </c>
      <c r="M209">
        <v>0</v>
      </c>
      <c r="N209">
        <v>1</v>
      </c>
      <c r="O209">
        <v>0</v>
      </c>
      <c r="P209">
        <v>0</v>
      </c>
      <c r="Q209">
        <v>0</v>
      </c>
      <c r="R209">
        <v>0</v>
      </c>
      <c r="S209">
        <v>0</v>
      </c>
      <c r="T209">
        <v>0</v>
      </c>
      <c r="U209">
        <v>0</v>
      </c>
      <c r="V209">
        <v>0</v>
      </c>
      <c r="W209">
        <v>0</v>
      </c>
      <c r="X209">
        <v>1</v>
      </c>
      <c r="Y209">
        <v>2</v>
      </c>
      <c r="Z209">
        <v>1</v>
      </c>
      <c r="AA209" t="b">
        <v>0</v>
      </c>
    </row>
    <row r="210" spans="1:27" x14ac:dyDescent="0.3">
      <c r="A210" t="s">
        <v>177</v>
      </c>
      <c r="B210" t="s">
        <v>177</v>
      </c>
      <c r="C210"/>
      <c r="D210"/>
      <c r="E210"/>
      <c r="F210"/>
      <c r="G210">
        <v>2.6</v>
      </c>
      <c r="H210">
        <v>1</v>
      </c>
      <c r="I210">
        <v>0</v>
      </c>
      <c r="J210">
        <v>1</v>
      </c>
      <c r="K210">
        <v>0</v>
      </c>
      <c r="L210">
        <v>0</v>
      </c>
      <c r="M210">
        <v>1</v>
      </c>
      <c r="N210">
        <v>1</v>
      </c>
      <c r="O210">
        <v>1</v>
      </c>
      <c r="P210">
        <v>0</v>
      </c>
      <c r="Q210">
        <v>0</v>
      </c>
      <c r="R210">
        <v>0</v>
      </c>
      <c r="S210">
        <v>0</v>
      </c>
      <c r="T210">
        <v>0</v>
      </c>
      <c r="U210">
        <v>0</v>
      </c>
      <c r="V210">
        <v>0</v>
      </c>
      <c r="W210">
        <v>0</v>
      </c>
      <c r="X210">
        <v>1</v>
      </c>
      <c r="Y210">
        <v>5</v>
      </c>
      <c r="Z210">
        <v>1</v>
      </c>
      <c r="AA210" t="b">
        <v>1</v>
      </c>
    </row>
    <row r="211" spans="1:27" x14ac:dyDescent="0.3">
      <c r="A211" t="s">
        <v>178</v>
      </c>
      <c r="B211" t="s">
        <v>178</v>
      </c>
      <c r="C211"/>
      <c r="D211"/>
      <c r="E211"/>
      <c r="F211"/>
      <c r="G211">
        <v>4.1500000000000004</v>
      </c>
      <c r="H211">
        <v>0</v>
      </c>
      <c r="I211">
        <v>0</v>
      </c>
      <c r="J211">
        <v>0</v>
      </c>
      <c r="K211">
        <v>1</v>
      </c>
      <c r="L211">
        <v>1</v>
      </c>
      <c r="M211">
        <v>0</v>
      </c>
      <c r="N211">
        <v>0</v>
      </c>
      <c r="O211">
        <v>0</v>
      </c>
      <c r="P211">
        <v>0</v>
      </c>
      <c r="Q211">
        <v>0</v>
      </c>
      <c r="R211">
        <v>0</v>
      </c>
      <c r="S211">
        <v>1</v>
      </c>
      <c r="T211">
        <v>0</v>
      </c>
      <c r="U211">
        <v>0</v>
      </c>
      <c r="V211">
        <v>0</v>
      </c>
      <c r="W211">
        <v>0</v>
      </c>
      <c r="X211">
        <v>1</v>
      </c>
      <c r="Y211">
        <v>2</v>
      </c>
      <c r="Z211">
        <v>2</v>
      </c>
      <c r="AA211" t="b">
        <v>0</v>
      </c>
    </row>
    <row r="212" spans="1:27" x14ac:dyDescent="0.3">
      <c r="A212" t="s">
        <v>179</v>
      </c>
      <c r="B212" t="s">
        <v>179</v>
      </c>
      <c r="C212"/>
      <c r="D212"/>
      <c r="E212"/>
      <c r="F212"/>
      <c r="G212">
        <v>4.9400000000000004</v>
      </c>
      <c r="H212">
        <v>1</v>
      </c>
      <c r="I212">
        <v>0</v>
      </c>
      <c r="J212">
        <v>1</v>
      </c>
      <c r="K212">
        <v>0</v>
      </c>
      <c r="L212">
        <v>1</v>
      </c>
      <c r="M212">
        <v>0</v>
      </c>
      <c r="N212">
        <v>1</v>
      </c>
      <c r="O212">
        <v>0</v>
      </c>
      <c r="P212">
        <v>0</v>
      </c>
      <c r="Q212">
        <v>0</v>
      </c>
      <c r="R212">
        <v>0</v>
      </c>
      <c r="S212">
        <v>0</v>
      </c>
      <c r="T212">
        <v>0</v>
      </c>
      <c r="U212">
        <v>0</v>
      </c>
      <c r="V212">
        <v>0</v>
      </c>
      <c r="W212">
        <v>1</v>
      </c>
      <c r="X212">
        <v>0</v>
      </c>
      <c r="Y212">
        <v>4</v>
      </c>
      <c r="Z212">
        <v>1</v>
      </c>
      <c r="AA212" t="b">
        <v>0</v>
      </c>
    </row>
    <row r="213" spans="1:27" x14ac:dyDescent="0.3">
      <c r="A213" t="s">
        <v>180</v>
      </c>
      <c r="B213" t="s">
        <v>180</v>
      </c>
      <c r="C213"/>
      <c r="D213"/>
      <c r="E213"/>
      <c r="F213"/>
      <c r="G213">
        <v>7.7214285719999998</v>
      </c>
      <c r="H213">
        <v>1</v>
      </c>
      <c r="I213">
        <v>0</v>
      </c>
      <c r="J213">
        <v>0</v>
      </c>
      <c r="K213">
        <v>0</v>
      </c>
      <c r="L213">
        <v>0</v>
      </c>
      <c r="M213">
        <v>0</v>
      </c>
      <c r="N213">
        <v>1</v>
      </c>
      <c r="O213">
        <v>0</v>
      </c>
      <c r="P213">
        <v>1</v>
      </c>
      <c r="Q213">
        <v>0</v>
      </c>
      <c r="R213">
        <v>1</v>
      </c>
      <c r="S213">
        <v>0</v>
      </c>
      <c r="T213">
        <v>0</v>
      </c>
      <c r="U213">
        <v>0</v>
      </c>
      <c r="V213">
        <v>0</v>
      </c>
      <c r="W213">
        <v>0</v>
      </c>
      <c r="X213">
        <v>1</v>
      </c>
      <c r="Y213">
        <v>4</v>
      </c>
      <c r="Z213">
        <v>1</v>
      </c>
      <c r="AA213" t="b">
        <v>1</v>
      </c>
    </row>
    <row r="214" spans="1:27" x14ac:dyDescent="0.3">
      <c r="A214" t="s">
        <v>181</v>
      </c>
      <c r="B214" t="s">
        <v>181</v>
      </c>
      <c r="C214"/>
      <c r="D214"/>
      <c r="E214"/>
      <c r="F214"/>
      <c r="G214">
        <v>5.4749999999999996</v>
      </c>
      <c r="H214">
        <v>1</v>
      </c>
      <c r="I214">
        <v>0</v>
      </c>
      <c r="J214">
        <v>0</v>
      </c>
      <c r="K214">
        <v>1</v>
      </c>
      <c r="L214">
        <v>1</v>
      </c>
      <c r="M214">
        <v>1</v>
      </c>
      <c r="N214">
        <v>0</v>
      </c>
      <c r="O214">
        <v>0</v>
      </c>
      <c r="P214">
        <v>0</v>
      </c>
      <c r="Q214">
        <v>0</v>
      </c>
      <c r="R214">
        <v>0</v>
      </c>
      <c r="S214">
        <v>0</v>
      </c>
      <c r="T214">
        <v>0</v>
      </c>
      <c r="U214">
        <v>0</v>
      </c>
      <c r="V214">
        <v>0</v>
      </c>
      <c r="W214">
        <v>0</v>
      </c>
      <c r="X214">
        <v>1</v>
      </c>
      <c r="Y214">
        <v>4</v>
      </c>
      <c r="Z214">
        <v>1</v>
      </c>
      <c r="AA214" t="b">
        <v>1</v>
      </c>
    </row>
    <row r="215" spans="1:27" x14ac:dyDescent="0.3">
      <c r="A215" t="s">
        <v>337</v>
      </c>
      <c r="B215" t="s">
        <v>418</v>
      </c>
      <c r="C215"/>
      <c r="D215" t="s">
        <v>337</v>
      </c>
      <c r="E215" t="s">
        <v>182</v>
      </c>
      <c r="F215"/>
      <c r="G215">
        <v>6.9249799999999997</v>
      </c>
      <c r="H215">
        <v>1</v>
      </c>
      <c r="I215">
        <v>1</v>
      </c>
      <c r="J215">
        <v>1</v>
      </c>
      <c r="K215">
        <v>1</v>
      </c>
      <c r="L215">
        <v>0</v>
      </c>
      <c r="M215">
        <v>1</v>
      </c>
      <c r="N215">
        <v>0</v>
      </c>
      <c r="O215">
        <v>0</v>
      </c>
      <c r="P215">
        <v>0</v>
      </c>
      <c r="Q215">
        <v>0</v>
      </c>
      <c r="R215">
        <v>0</v>
      </c>
      <c r="S215">
        <v>0</v>
      </c>
      <c r="T215">
        <v>0</v>
      </c>
      <c r="U215">
        <v>0</v>
      </c>
      <c r="V215">
        <v>0</v>
      </c>
      <c r="W215">
        <v>0</v>
      </c>
      <c r="X215">
        <v>1</v>
      </c>
      <c r="Y215">
        <v>5</v>
      </c>
      <c r="Z215">
        <v>1</v>
      </c>
      <c r="AA215" t="b">
        <v>1</v>
      </c>
    </row>
    <row r="216" spans="1:27" x14ac:dyDescent="0.3">
      <c r="A216" t="s">
        <v>183</v>
      </c>
      <c r="B216" t="s">
        <v>183</v>
      </c>
      <c r="C216"/>
      <c r="D216"/>
      <c r="E216"/>
      <c r="F216"/>
      <c r="G216">
        <v>2.378571429</v>
      </c>
      <c r="H216">
        <v>1</v>
      </c>
      <c r="I216">
        <v>0</v>
      </c>
      <c r="J216">
        <v>0</v>
      </c>
      <c r="K216">
        <v>1</v>
      </c>
      <c r="L216">
        <v>0</v>
      </c>
      <c r="M216">
        <v>1</v>
      </c>
      <c r="N216">
        <v>0</v>
      </c>
      <c r="O216">
        <v>0</v>
      </c>
      <c r="P216">
        <v>0</v>
      </c>
      <c r="Q216">
        <v>0</v>
      </c>
      <c r="R216">
        <v>0</v>
      </c>
      <c r="S216">
        <v>0</v>
      </c>
      <c r="T216">
        <v>0</v>
      </c>
      <c r="U216">
        <v>0</v>
      </c>
      <c r="V216">
        <v>0</v>
      </c>
      <c r="W216">
        <v>0</v>
      </c>
      <c r="X216">
        <v>0</v>
      </c>
      <c r="Y216">
        <v>3</v>
      </c>
      <c r="Z216">
        <v>0</v>
      </c>
      <c r="AA216" t="b">
        <v>0</v>
      </c>
    </row>
    <row r="217" spans="1:27" s="2" customFormat="1" x14ac:dyDescent="0.3">
      <c r="A217" s="3"/>
      <c r="B217" s="3" t="s">
        <v>474</v>
      </c>
      <c r="C217" s="3"/>
      <c r="D217" s="3" t="s">
        <v>474</v>
      </c>
      <c r="E217" s="3" t="s">
        <v>474</v>
      </c>
      <c r="F217" s="3"/>
      <c r="G217" s="3">
        <v>2.2999999999999998</v>
      </c>
      <c r="H217" s="3"/>
      <c r="I217" s="3"/>
      <c r="J217" s="3"/>
      <c r="K217" s="3"/>
      <c r="L217" s="3"/>
      <c r="M217" s="3"/>
      <c r="N217" s="3"/>
      <c r="O217" s="3"/>
      <c r="P217" s="3"/>
      <c r="Q217" s="3"/>
      <c r="R217" s="3"/>
      <c r="S217" s="3">
        <v>0</v>
      </c>
      <c r="T217" s="3">
        <v>0</v>
      </c>
      <c r="U217" s="3">
        <v>0</v>
      </c>
      <c r="V217" s="3">
        <v>0</v>
      </c>
      <c r="W217" s="3">
        <v>0</v>
      </c>
      <c r="X217" s="3">
        <v>1</v>
      </c>
      <c r="Y217" s="3"/>
      <c r="Z217" s="3">
        <v>1</v>
      </c>
      <c r="AA217" s="3" t="b">
        <v>0</v>
      </c>
    </row>
    <row r="218" spans="1:27" x14ac:dyDescent="0.3">
      <c r="A218" t="s">
        <v>184</v>
      </c>
      <c r="B218" t="s">
        <v>184</v>
      </c>
      <c r="C218"/>
      <c r="D218"/>
      <c r="E218"/>
      <c r="F218"/>
      <c r="G218">
        <v>2.5</v>
      </c>
      <c r="H218">
        <v>1</v>
      </c>
      <c r="I218">
        <v>0</v>
      </c>
      <c r="J218">
        <v>0</v>
      </c>
      <c r="K218">
        <v>1</v>
      </c>
      <c r="L218">
        <v>1</v>
      </c>
      <c r="M218">
        <v>1</v>
      </c>
      <c r="N218">
        <v>1</v>
      </c>
      <c r="O218">
        <v>0</v>
      </c>
      <c r="P218">
        <v>0</v>
      </c>
      <c r="Q218">
        <v>0</v>
      </c>
      <c r="R218">
        <v>0</v>
      </c>
      <c r="S218">
        <v>0</v>
      </c>
      <c r="T218">
        <v>0</v>
      </c>
      <c r="U218">
        <v>0</v>
      </c>
      <c r="V218">
        <v>0</v>
      </c>
      <c r="W218">
        <v>1</v>
      </c>
      <c r="X218">
        <v>1</v>
      </c>
      <c r="Y218">
        <v>5</v>
      </c>
      <c r="Z218">
        <v>2</v>
      </c>
      <c r="AA218" t="b">
        <v>0</v>
      </c>
    </row>
    <row r="219" spans="1:27" x14ac:dyDescent="0.3">
      <c r="A219" t="s">
        <v>185</v>
      </c>
      <c r="B219" t="s">
        <v>185</v>
      </c>
      <c r="C219"/>
      <c r="D219"/>
      <c r="E219"/>
      <c r="F219"/>
      <c r="G219">
        <v>4.125</v>
      </c>
      <c r="H219">
        <v>0</v>
      </c>
      <c r="I219">
        <v>1</v>
      </c>
      <c r="J219">
        <v>1</v>
      </c>
      <c r="K219">
        <v>1</v>
      </c>
      <c r="L219">
        <v>0</v>
      </c>
      <c r="M219">
        <v>0</v>
      </c>
      <c r="N219">
        <v>0</v>
      </c>
      <c r="O219">
        <v>0</v>
      </c>
      <c r="P219">
        <v>0</v>
      </c>
      <c r="Q219">
        <v>0</v>
      </c>
      <c r="R219">
        <v>0</v>
      </c>
      <c r="S219">
        <v>1</v>
      </c>
      <c r="T219">
        <v>0</v>
      </c>
      <c r="U219">
        <v>0</v>
      </c>
      <c r="V219">
        <v>0</v>
      </c>
      <c r="W219">
        <v>1</v>
      </c>
      <c r="X219">
        <v>1</v>
      </c>
      <c r="Y219">
        <v>3</v>
      </c>
      <c r="Z219">
        <v>3</v>
      </c>
      <c r="AA219" t="b">
        <v>0</v>
      </c>
    </row>
    <row r="220" spans="1:27" x14ac:dyDescent="0.3">
      <c r="A220" t="s">
        <v>186</v>
      </c>
      <c r="B220" t="s">
        <v>419</v>
      </c>
      <c r="C220"/>
      <c r="D220"/>
      <c r="E220"/>
      <c r="F220"/>
      <c r="G220">
        <v>4.8</v>
      </c>
      <c r="H220">
        <v>1</v>
      </c>
      <c r="I220">
        <v>0</v>
      </c>
      <c r="J220">
        <v>1</v>
      </c>
      <c r="K220">
        <v>1</v>
      </c>
      <c r="L220">
        <v>0</v>
      </c>
      <c r="M220">
        <v>1</v>
      </c>
      <c r="N220">
        <v>0</v>
      </c>
      <c r="O220">
        <v>0</v>
      </c>
      <c r="P220">
        <v>0</v>
      </c>
      <c r="Q220">
        <v>0</v>
      </c>
      <c r="R220">
        <v>0</v>
      </c>
      <c r="S220">
        <v>1</v>
      </c>
      <c r="T220">
        <v>0</v>
      </c>
      <c r="U220">
        <v>0</v>
      </c>
      <c r="V220">
        <v>0</v>
      </c>
      <c r="W220">
        <v>1</v>
      </c>
      <c r="X220">
        <v>1</v>
      </c>
      <c r="Y220">
        <v>4</v>
      </c>
      <c r="Z220">
        <v>3</v>
      </c>
      <c r="AA220" t="b">
        <v>0</v>
      </c>
    </row>
    <row r="221" spans="1:27" x14ac:dyDescent="0.3">
      <c r="A221" t="s">
        <v>187</v>
      </c>
      <c r="B221" t="s">
        <v>187</v>
      </c>
      <c r="C221"/>
      <c r="D221"/>
      <c r="E221"/>
      <c r="F221"/>
      <c r="G221">
        <v>4.875</v>
      </c>
      <c r="H221">
        <v>1</v>
      </c>
      <c r="I221">
        <v>1</v>
      </c>
      <c r="J221">
        <v>0</v>
      </c>
      <c r="K221">
        <v>1</v>
      </c>
      <c r="L221">
        <v>0</v>
      </c>
      <c r="M221">
        <v>1</v>
      </c>
      <c r="N221">
        <v>1</v>
      </c>
      <c r="O221">
        <v>0</v>
      </c>
      <c r="P221">
        <v>0</v>
      </c>
      <c r="Q221">
        <v>0</v>
      </c>
      <c r="R221">
        <v>0</v>
      </c>
      <c r="S221">
        <v>0</v>
      </c>
      <c r="T221">
        <v>0</v>
      </c>
      <c r="U221">
        <v>0</v>
      </c>
      <c r="V221">
        <v>0</v>
      </c>
      <c r="W221">
        <v>1</v>
      </c>
      <c r="X221">
        <v>1</v>
      </c>
      <c r="Y221">
        <v>5</v>
      </c>
      <c r="Z221">
        <v>2</v>
      </c>
      <c r="AA221" t="b">
        <v>0</v>
      </c>
    </row>
    <row r="222" spans="1:27" x14ac:dyDescent="0.3">
      <c r="A222" t="s">
        <v>188</v>
      </c>
      <c r="B222" t="s">
        <v>188</v>
      </c>
      <c r="C222"/>
      <c r="D222"/>
      <c r="E222"/>
      <c r="F222"/>
      <c r="G222">
        <v>6.15</v>
      </c>
      <c r="H222">
        <v>1</v>
      </c>
      <c r="I222">
        <v>1</v>
      </c>
      <c r="J222">
        <v>0</v>
      </c>
      <c r="K222">
        <v>1</v>
      </c>
      <c r="L222">
        <v>0</v>
      </c>
      <c r="M222">
        <v>1</v>
      </c>
      <c r="N222">
        <v>0</v>
      </c>
      <c r="O222">
        <v>0</v>
      </c>
      <c r="P222">
        <v>0</v>
      </c>
      <c r="Q222">
        <v>0</v>
      </c>
      <c r="R222">
        <v>0</v>
      </c>
      <c r="S222">
        <v>1</v>
      </c>
      <c r="T222">
        <v>0</v>
      </c>
      <c r="U222">
        <v>0</v>
      </c>
      <c r="V222">
        <v>0</v>
      </c>
      <c r="W222">
        <v>1</v>
      </c>
      <c r="X222">
        <v>1</v>
      </c>
      <c r="Y222">
        <v>4</v>
      </c>
      <c r="Z222">
        <v>3</v>
      </c>
      <c r="AA222" t="b">
        <v>0</v>
      </c>
    </row>
    <row r="223" spans="1:27" x14ac:dyDescent="0.3">
      <c r="A223" t="s">
        <v>189</v>
      </c>
      <c r="B223" t="s">
        <v>189</v>
      </c>
      <c r="C223"/>
      <c r="D223"/>
      <c r="E223"/>
      <c r="F223"/>
      <c r="G223">
        <v>4.32</v>
      </c>
      <c r="H223">
        <v>1</v>
      </c>
      <c r="I223">
        <v>1</v>
      </c>
      <c r="J223">
        <v>1</v>
      </c>
      <c r="K223">
        <v>1</v>
      </c>
      <c r="L223">
        <v>0</v>
      </c>
      <c r="M223">
        <v>0</v>
      </c>
      <c r="N223">
        <v>0</v>
      </c>
      <c r="O223">
        <v>0</v>
      </c>
      <c r="P223">
        <v>0</v>
      </c>
      <c r="Q223">
        <v>0</v>
      </c>
      <c r="R223">
        <v>0</v>
      </c>
      <c r="S223">
        <v>1</v>
      </c>
      <c r="T223">
        <v>0</v>
      </c>
      <c r="U223">
        <v>0</v>
      </c>
      <c r="V223">
        <v>0</v>
      </c>
      <c r="W223">
        <v>1</v>
      </c>
      <c r="X223">
        <v>1</v>
      </c>
      <c r="Y223">
        <v>4</v>
      </c>
      <c r="Z223">
        <v>3</v>
      </c>
      <c r="AA223" t="b">
        <v>0</v>
      </c>
    </row>
    <row r="224" spans="1:27" x14ac:dyDescent="0.3">
      <c r="A224" t="s">
        <v>190</v>
      </c>
      <c r="B224" t="s">
        <v>190</v>
      </c>
      <c r="C224"/>
      <c r="D224"/>
      <c r="E224"/>
      <c r="F224"/>
      <c r="G224">
        <v>3.6</v>
      </c>
      <c r="H224">
        <v>1</v>
      </c>
      <c r="I224">
        <v>0</v>
      </c>
      <c r="J224">
        <v>1</v>
      </c>
      <c r="K224">
        <v>1</v>
      </c>
      <c r="L224">
        <v>1</v>
      </c>
      <c r="M224">
        <v>0</v>
      </c>
      <c r="N224">
        <v>0</v>
      </c>
      <c r="O224">
        <v>0</v>
      </c>
      <c r="P224">
        <v>0</v>
      </c>
      <c r="Q224">
        <v>0</v>
      </c>
      <c r="R224">
        <v>0</v>
      </c>
      <c r="S224">
        <v>0</v>
      </c>
      <c r="T224">
        <v>0</v>
      </c>
      <c r="U224">
        <v>0</v>
      </c>
      <c r="V224">
        <v>0</v>
      </c>
      <c r="W224">
        <v>0</v>
      </c>
      <c r="X224">
        <v>1</v>
      </c>
      <c r="Y224">
        <v>4</v>
      </c>
      <c r="Z224">
        <v>1</v>
      </c>
      <c r="AA224" t="b">
        <v>0</v>
      </c>
    </row>
    <row r="225" spans="1:28" s="2" customFormat="1" x14ac:dyDescent="0.3">
      <c r="A225" s="3"/>
      <c r="B225" s="3" t="s">
        <v>475</v>
      </c>
      <c r="C225" s="3"/>
      <c r="D225" s="3" t="s">
        <v>475</v>
      </c>
      <c r="E225" s="3" t="s">
        <v>475</v>
      </c>
      <c r="F225" s="3"/>
      <c r="G225" s="3">
        <v>2.8</v>
      </c>
      <c r="H225" s="3"/>
      <c r="I225" s="3"/>
      <c r="J225" s="3"/>
      <c r="K225" s="3"/>
      <c r="L225" s="3"/>
      <c r="M225" s="3"/>
      <c r="N225" s="3"/>
      <c r="O225" s="3"/>
      <c r="P225" s="3"/>
      <c r="Q225" s="3"/>
      <c r="R225" s="3"/>
      <c r="S225" s="3">
        <v>0</v>
      </c>
      <c r="T225" s="3">
        <v>0</v>
      </c>
      <c r="U225" s="3">
        <v>0</v>
      </c>
      <c r="V225" s="3">
        <v>0</v>
      </c>
      <c r="W225" s="3">
        <v>0</v>
      </c>
      <c r="X225" s="3">
        <v>1</v>
      </c>
      <c r="Y225" s="3"/>
      <c r="Z225" s="3">
        <v>0</v>
      </c>
      <c r="AA225" s="3" t="b">
        <v>0</v>
      </c>
    </row>
    <row r="226" spans="1:28" x14ac:dyDescent="0.3">
      <c r="A226" t="s">
        <v>191</v>
      </c>
      <c r="B226" t="s">
        <v>191</v>
      </c>
      <c r="C226"/>
      <c r="D226"/>
      <c r="E226"/>
      <c r="F226"/>
      <c r="G226">
        <v>3.2180555559999999</v>
      </c>
      <c r="H226">
        <v>0</v>
      </c>
      <c r="I226">
        <v>0</v>
      </c>
      <c r="J226">
        <v>0</v>
      </c>
      <c r="K226">
        <v>1</v>
      </c>
      <c r="L226">
        <v>0</v>
      </c>
      <c r="M226">
        <v>0</v>
      </c>
      <c r="N226">
        <v>0</v>
      </c>
      <c r="O226">
        <v>0</v>
      </c>
      <c r="P226">
        <v>1</v>
      </c>
      <c r="Q226">
        <v>0</v>
      </c>
      <c r="R226">
        <v>1</v>
      </c>
      <c r="S226">
        <v>0</v>
      </c>
      <c r="T226">
        <v>0</v>
      </c>
      <c r="U226">
        <v>0</v>
      </c>
      <c r="V226">
        <v>0</v>
      </c>
      <c r="W226">
        <v>0</v>
      </c>
      <c r="X226">
        <v>1</v>
      </c>
      <c r="Y226">
        <v>3</v>
      </c>
      <c r="Z226">
        <v>1</v>
      </c>
      <c r="AA226" t="b">
        <v>1</v>
      </c>
    </row>
    <row r="227" spans="1:28" x14ac:dyDescent="0.3">
      <c r="A227" t="s">
        <v>192</v>
      </c>
      <c r="B227" t="s">
        <v>192</v>
      </c>
      <c r="C227"/>
      <c r="D227"/>
      <c r="E227"/>
      <c r="F227"/>
      <c r="G227">
        <v>3.2250000000000001</v>
      </c>
      <c r="H227">
        <v>0</v>
      </c>
      <c r="I227">
        <v>0</v>
      </c>
      <c r="J227">
        <v>1</v>
      </c>
      <c r="K227">
        <v>1</v>
      </c>
      <c r="L227">
        <v>0</v>
      </c>
      <c r="M227">
        <v>0</v>
      </c>
      <c r="N227">
        <v>1</v>
      </c>
      <c r="O227">
        <v>0</v>
      </c>
      <c r="P227">
        <v>0</v>
      </c>
      <c r="Q227">
        <v>0</v>
      </c>
      <c r="R227">
        <v>0</v>
      </c>
      <c r="S227">
        <v>0</v>
      </c>
      <c r="T227">
        <v>0</v>
      </c>
      <c r="U227">
        <v>0</v>
      </c>
      <c r="V227">
        <v>0</v>
      </c>
      <c r="W227">
        <v>0</v>
      </c>
      <c r="X227">
        <v>1</v>
      </c>
      <c r="Y227">
        <v>3</v>
      </c>
      <c r="Z227">
        <v>1</v>
      </c>
      <c r="AA227" t="b">
        <v>0</v>
      </c>
    </row>
    <row r="228" spans="1:28" x14ac:dyDescent="0.3">
      <c r="A228" t="s">
        <v>193</v>
      </c>
      <c r="B228" t="s">
        <v>193</v>
      </c>
      <c r="C228"/>
      <c r="D228"/>
      <c r="E228"/>
      <c r="F228"/>
      <c r="G228">
        <v>6.95</v>
      </c>
      <c r="H228">
        <v>0</v>
      </c>
      <c r="I228">
        <v>0</v>
      </c>
      <c r="J228">
        <v>0</v>
      </c>
      <c r="K228">
        <v>0</v>
      </c>
      <c r="L228">
        <v>0</v>
      </c>
      <c r="M228">
        <v>0</v>
      </c>
      <c r="N228">
        <v>0</v>
      </c>
      <c r="O228">
        <v>0</v>
      </c>
      <c r="P228">
        <v>0</v>
      </c>
      <c r="Q228">
        <v>0</v>
      </c>
      <c r="R228">
        <v>0</v>
      </c>
      <c r="S228">
        <v>0</v>
      </c>
      <c r="T228">
        <v>0</v>
      </c>
      <c r="U228">
        <v>0</v>
      </c>
      <c r="V228">
        <v>0</v>
      </c>
      <c r="W228">
        <v>0</v>
      </c>
      <c r="X228">
        <v>0</v>
      </c>
      <c r="Y228">
        <v>0</v>
      </c>
      <c r="Z228">
        <v>0</v>
      </c>
      <c r="AA228" t="b">
        <v>0</v>
      </c>
    </row>
    <row r="229" spans="1:28" x14ac:dyDescent="0.3">
      <c r="A229" t="s">
        <v>194</v>
      </c>
      <c r="B229" t="s">
        <v>194</v>
      </c>
      <c r="C229"/>
      <c r="D229" t="s">
        <v>507</v>
      </c>
      <c r="E229"/>
      <c r="F229"/>
      <c r="G229">
        <v>7.8</v>
      </c>
      <c r="H229">
        <v>1</v>
      </c>
      <c r="I229">
        <v>0</v>
      </c>
      <c r="J229">
        <v>0</v>
      </c>
      <c r="K229">
        <v>0</v>
      </c>
      <c r="L229">
        <v>0</v>
      </c>
      <c r="M229">
        <v>1</v>
      </c>
      <c r="N229">
        <v>1</v>
      </c>
      <c r="O229">
        <v>0</v>
      </c>
      <c r="P229">
        <v>0</v>
      </c>
      <c r="Q229">
        <v>0</v>
      </c>
      <c r="R229">
        <v>0</v>
      </c>
      <c r="S229">
        <v>0</v>
      </c>
      <c r="T229">
        <v>1</v>
      </c>
      <c r="U229">
        <v>0</v>
      </c>
      <c r="V229">
        <v>1</v>
      </c>
      <c r="W229">
        <v>1</v>
      </c>
      <c r="X229">
        <v>1</v>
      </c>
      <c r="Y229">
        <v>3</v>
      </c>
      <c r="Z229">
        <v>4</v>
      </c>
      <c r="AA229" t="b">
        <v>0</v>
      </c>
    </row>
    <row r="230" spans="1:28" x14ac:dyDescent="0.3">
      <c r="A230" t="s">
        <v>195</v>
      </c>
      <c r="B230" t="s">
        <v>195</v>
      </c>
      <c r="C230"/>
      <c r="D230" t="s">
        <v>508</v>
      </c>
      <c r="E230"/>
      <c r="F230"/>
      <c r="G230" t="s">
        <v>321</v>
      </c>
      <c r="H230">
        <v>1</v>
      </c>
      <c r="I230">
        <v>0</v>
      </c>
      <c r="J230">
        <v>0</v>
      </c>
      <c r="K230">
        <v>0</v>
      </c>
      <c r="L230">
        <v>0</v>
      </c>
      <c r="M230">
        <v>0</v>
      </c>
      <c r="N230">
        <v>1</v>
      </c>
      <c r="O230">
        <v>0</v>
      </c>
      <c r="P230">
        <v>0</v>
      </c>
      <c r="Q230">
        <v>0</v>
      </c>
      <c r="R230">
        <v>0</v>
      </c>
      <c r="S230">
        <v>0</v>
      </c>
      <c r="T230">
        <v>0</v>
      </c>
      <c r="U230">
        <v>0</v>
      </c>
      <c r="V230">
        <v>1</v>
      </c>
      <c r="W230">
        <v>1</v>
      </c>
      <c r="X230">
        <v>1</v>
      </c>
      <c r="Y230">
        <v>2</v>
      </c>
      <c r="Z230">
        <v>3</v>
      </c>
      <c r="AA230" t="b">
        <v>1</v>
      </c>
    </row>
    <row r="231" spans="1:28" x14ac:dyDescent="0.3">
      <c r="A231" t="s">
        <v>196</v>
      </c>
      <c r="B231" t="s">
        <v>196</v>
      </c>
      <c r="C231"/>
      <c r="D231" t="s">
        <v>509</v>
      </c>
      <c r="E231"/>
      <c r="F231"/>
      <c r="G231">
        <v>8.11</v>
      </c>
      <c r="H231">
        <v>1</v>
      </c>
      <c r="I231">
        <v>0</v>
      </c>
      <c r="J231">
        <v>1</v>
      </c>
      <c r="K231">
        <v>0</v>
      </c>
      <c r="L231">
        <v>0</v>
      </c>
      <c r="M231">
        <v>0</v>
      </c>
      <c r="N231">
        <v>0</v>
      </c>
      <c r="O231">
        <v>0</v>
      </c>
      <c r="P231">
        <v>0</v>
      </c>
      <c r="Q231">
        <v>0</v>
      </c>
      <c r="R231">
        <v>0</v>
      </c>
      <c r="S231">
        <v>0</v>
      </c>
      <c r="T231">
        <v>1</v>
      </c>
      <c r="U231">
        <v>0</v>
      </c>
      <c r="V231">
        <v>1</v>
      </c>
      <c r="W231">
        <v>0</v>
      </c>
      <c r="X231">
        <v>0</v>
      </c>
      <c r="Y231">
        <v>2</v>
      </c>
      <c r="Z231">
        <v>2</v>
      </c>
      <c r="AA231" t="b">
        <v>0</v>
      </c>
    </row>
    <row r="232" spans="1:28" x14ac:dyDescent="0.3">
      <c r="A232" t="s">
        <v>197</v>
      </c>
      <c r="B232" t="s">
        <v>197</v>
      </c>
      <c r="C232"/>
      <c r="D232" t="s">
        <v>510</v>
      </c>
      <c r="E232"/>
      <c r="F232"/>
      <c r="G232">
        <v>11.08333333</v>
      </c>
      <c r="H232">
        <v>1</v>
      </c>
      <c r="I232">
        <v>0</v>
      </c>
      <c r="J232">
        <v>0</v>
      </c>
      <c r="K232">
        <v>0</v>
      </c>
      <c r="L232">
        <v>0</v>
      </c>
      <c r="M232">
        <v>1</v>
      </c>
      <c r="N232">
        <v>1</v>
      </c>
      <c r="O232">
        <v>0</v>
      </c>
      <c r="P232">
        <v>1</v>
      </c>
      <c r="Q232">
        <v>0</v>
      </c>
      <c r="R232">
        <v>0</v>
      </c>
      <c r="S232">
        <v>0</v>
      </c>
      <c r="T232">
        <v>1</v>
      </c>
      <c r="U232">
        <v>0</v>
      </c>
      <c r="V232">
        <v>1</v>
      </c>
      <c r="W232">
        <v>1</v>
      </c>
      <c r="X232">
        <v>1</v>
      </c>
      <c r="Y232">
        <v>4</v>
      </c>
      <c r="Z232">
        <v>4</v>
      </c>
      <c r="AA232" t="b">
        <v>0</v>
      </c>
    </row>
    <row r="233" spans="1:28" x14ac:dyDescent="0.3">
      <c r="A233" t="s">
        <v>198</v>
      </c>
      <c r="B233" t="s">
        <v>198</v>
      </c>
      <c r="C233"/>
      <c r="D233"/>
      <c r="E233"/>
      <c r="F233"/>
      <c r="G233">
        <v>6.5750000000000002</v>
      </c>
      <c r="H233">
        <v>1</v>
      </c>
      <c r="I233">
        <v>0</v>
      </c>
      <c r="J233">
        <v>0</v>
      </c>
      <c r="K233">
        <v>0</v>
      </c>
      <c r="L233">
        <v>0</v>
      </c>
      <c r="M233">
        <v>0</v>
      </c>
      <c r="N233">
        <v>1</v>
      </c>
      <c r="O233">
        <v>0</v>
      </c>
      <c r="P233">
        <v>0</v>
      </c>
      <c r="Q233">
        <v>0</v>
      </c>
      <c r="R233">
        <v>0</v>
      </c>
      <c r="S233">
        <v>0</v>
      </c>
      <c r="T233">
        <v>0</v>
      </c>
      <c r="U233">
        <v>0</v>
      </c>
      <c r="V233">
        <v>1</v>
      </c>
      <c r="W233">
        <v>0</v>
      </c>
      <c r="X233">
        <v>0</v>
      </c>
      <c r="Y233">
        <v>2</v>
      </c>
      <c r="Z233">
        <v>1</v>
      </c>
      <c r="AA233" t="b">
        <v>0</v>
      </c>
    </row>
    <row r="234" spans="1:28" x14ac:dyDescent="0.3">
      <c r="A234" t="s">
        <v>199</v>
      </c>
      <c r="B234" t="s">
        <v>199</v>
      </c>
      <c r="C234"/>
      <c r="D234"/>
      <c r="E234"/>
      <c r="F234"/>
      <c r="G234">
        <v>7.7</v>
      </c>
      <c r="H234">
        <v>1</v>
      </c>
      <c r="I234">
        <v>0</v>
      </c>
      <c r="J234">
        <v>0</v>
      </c>
      <c r="K234">
        <v>0</v>
      </c>
      <c r="L234">
        <v>1</v>
      </c>
      <c r="M234">
        <v>1</v>
      </c>
      <c r="N234">
        <v>0</v>
      </c>
      <c r="O234">
        <v>0</v>
      </c>
      <c r="P234">
        <v>0</v>
      </c>
      <c r="Q234">
        <v>0</v>
      </c>
      <c r="R234">
        <v>0</v>
      </c>
      <c r="S234">
        <v>1</v>
      </c>
      <c r="T234">
        <v>0</v>
      </c>
      <c r="U234">
        <v>0</v>
      </c>
      <c r="V234">
        <v>1</v>
      </c>
      <c r="W234">
        <v>0</v>
      </c>
      <c r="X234">
        <v>1</v>
      </c>
      <c r="Y234">
        <v>3</v>
      </c>
      <c r="Z234">
        <v>3</v>
      </c>
      <c r="AA234" t="b">
        <v>1</v>
      </c>
    </row>
    <row r="235" spans="1:28" x14ac:dyDescent="0.3">
      <c r="A235" t="s">
        <v>200</v>
      </c>
      <c r="B235" t="s">
        <v>200</v>
      </c>
      <c r="C235"/>
      <c r="D235"/>
      <c r="E235"/>
      <c r="F235"/>
      <c r="G235">
        <v>9.99</v>
      </c>
      <c r="H235">
        <v>1</v>
      </c>
      <c r="I235">
        <v>0</v>
      </c>
      <c r="J235">
        <v>0</v>
      </c>
      <c r="K235">
        <v>0</v>
      </c>
      <c r="L235">
        <v>0</v>
      </c>
      <c r="M235">
        <v>0</v>
      </c>
      <c r="N235">
        <v>0</v>
      </c>
      <c r="O235">
        <v>0</v>
      </c>
      <c r="P235">
        <v>0</v>
      </c>
      <c r="Q235">
        <v>0</v>
      </c>
      <c r="R235">
        <v>0</v>
      </c>
      <c r="S235">
        <v>0</v>
      </c>
      <c r="T235">
        <v>1</v>
      </c>
      <c r="U235">
        <v>0</v>
      </c>
      <c r="V235">
        <v>1</v>
      </c>
      <c r="W235">
        <v>0</v>
      </c>
      <c r="X235">
        <v>0</v>
      </c>
      <c r="Y235">
        <v>1</v>
      </c>
      <c r="Z235">
        <v>2</v>
      </c>
      <c r="AA235" t="b">
        <v>0</v>
      </c>
    </row>
    <row r="236" spans="1:28" x14ac:dyDescent="0.3">
      <c r="A236" t="s">
        <v>201</v>
      </c>
      <c r="B236" t="s">
        <v>201</v>
      </c>
      <c r="C236"/>
      <c r="D236" t="s">
        <v>511</v>
      </c>
      <c r="E236"/>
      <c r="F236"/>
      <c r="G236">
        <v>14</v>
      </c>
      <c r="H236">
        <v>0</v>
      </c>
      <c r="I236">
        <v>0</v>
      </c>
      <c r="J236">
        <v>0</v>
      </c>
      <c r="K236">
        <v>0</v>
      </c>
      <c r="L236">
        <v>0</v>
      </c>
      <c r="M236">
        <v>1</v>
      </c>
      <c r="N236">
        <v>1</v>
      </c>
      <c r="O236">
        <v>0</v>
      </c>
      <c r="P236">
        <v>0</v>
      </c>
      <c r="Q236">
        <v>0</v>
      </c>
      <c r="R236">
        <v>0</v>
      </c>
      <c r="S236">
        <v>0</v>
      </c>
      <c r="T236">
        <v>1</v>
      </c>
      <c r="U236">
        <v>0</v>
      </c>
      <c r="V236">
        <v>1</v>
      </c>
      <c r="W236">
        <v>1</v>
      </c>
      <c r="X236">
        <v>0</v>
      </c>
      <c r="Y236">
        <v>2</v>
      </c>
      <c r="Z236">
        <v>3</v>
      </c>
      <c r="AA236" t="b">
        <v>0</v>
      </c>
    </row>
    <row r="237" spans="1:28" s="2" customFormat="1" x14ac:dyDescent="0.3">
      <c r="A237" s="3"/>
      <c r="B237" s="3" t="s">
        <v>476</v>
      </c>
      <c r="C237" s="3"/>
      <c r="D237" s="3" t="s">
        <v>476</v>
      </c>
      <c r="E237" s="3" t="s">
        <v>476</v>
      </c>
      <c r="F237" s="3"/>
      <c r="G237" s="3">
        <v>7.9984999999999999</v>
      </c>
      <c r="H237" s="3"/>
      <c r="I237" s="3"/>
      <c r="J237" s="3"/>
      <c r="K237" s="3"/>
      <c r="L237" s="3"/>
      <c r="M237" s="3"/>
      <c r="N237" s="3"/>
      <c r="O237" s="3"/>
      <c r="P237" s="3"/>
      <c r="Q237" s="3"/>
      <c r="R237" s="3"/>
      <c r="S237" s="3">
        <v>0</v>
      </c>
      <c r="T237" s="3">
        <v>0</v>
      </c>
      <c r="U237" s="3">
        <v>0</v>
      </c>
      <c r="V237" s="3">
        <v>1</v>
      </c>
      <c r="W237" s="3">
        <v>1</v>
      </c>
      <c r="X237" s="3">
        <v>1</v>
      </c>
      <c r="Y237" s="3"/>
      <c r="Z237" s="3">
        <v>3</v>
      </c>
      <c r="AA237" s="3" t="b">
        <v>1</v>
      </c>
    </row>
    <row r="238" spans="1:28" x14ac:dyDescent="0.3">
      <c r="A238" t="s">
        <v>202</v>
      </c>
      <c r="B238" t="s">
        <v>202</v>
      </c>
      <c r="C238"/>
      <c r="D238" t="s">
        <v>508</v>
      </c>
      <c r="E238"/>
      <c r="F238"/>
      <c r="G238">
        <v>8.11</v>
      </c>
      <c r="H238">
        <v>0</v>
      </c>
      <c r="I238">
        <v>0</v>
      </c>
      <c r="J238">
        <v>0</v>
      </c>
      <c r="K238">
        <v>0</v>
      </c>
      <c r="L238">
        <v>0</v>
      </c>
      <c r="M238">
        <v>0</v>
      </c>
      <c r="N238">
        <v>0</v>
      </c>
      <c r="O238">
        <v>0</v>
      </c>
      <c r="P238">
        <v>0</v>
      </c>
      <c r="Q238">
        <v>0</v>
      </c>
      <c r="R238">
        <v>0</v>
      </c>
      <c r="S238">
        <v>0</v>
      </c>
      <c r="T238">
        <v>0</v>
      </c>
      <c r="U238">
        <v>0</v>
      </c>
      <c r="V238">
        <v>0</v>
      </c>
      <c r="W238">
        <v>0</v>
      </c>
      <c r="X238">
        <v>0</v>
      </c>
      <c r="Y238">
        <v>0</v>
      </c>
      <c r="Z238">
        <v>0</v>
      </c>
      <c r="AA238" t="b">
        <v>0</v>
      </c>
    </row>
    <row r="239" spans="1:28" x14ac:dyDescent="0.3">
      <c r="A239" t="s">
        <v>203</v>
      </c>
      <c r="B239" t="s">
        <v>203</v>
      </c>
      <c r="C239"/>
      <c r="D239" t="s">
        <v>512</v>
      </c>
      <c r="E239"/>
      <c r="F239"/>
      <c r="G239" s="3">
        <v>8.5</v>
      </c>
      <c r="H239">
        <v>0</v>
      </c>
      <c r="I239">
        <v>0</v>
      </c>
      <c r="J239">
        <v>0</v>
      </c>
      <c r="K239">
        <v>0</v>
      </c>
      <c r="L239">
        <v>0</v>
      </c>
      <c r="M239">
        <v>1</v>
      </c>
      <c r="N239">
        <v>1</v>
      </c>
      <c r="O239">
        <v>0</v>
      </c>
      <c r="P239">
        <v>0</v>
      </c>
      <c r="Q239">
        <v>0</v>
      </c>
      <c r="R239">
        <v>0</v>
      </c>
      <c r="S239">
        <v>0</v>
      </c>
      <c r="T239">
        <v>0</v>
      </c>
      <c r="U239">
        <v>0</v>
      </c>
      <c r="V239">
        <v>0</v>
      </c>
      <c r="W239">
        <v>1</v>
      </c>
      <c r="X239">
        <v>1</v>
      </c>
      <c r="Y239">
        <v>2</v>
      </c>
      <c r="Z239">
        <v>2</v>
      </c>
      <c r="AA239" t="b">
        <v>0</v>
      </c>
      <c r="AB239" s="1" t="s">
        <v>485</v>
      </c>
    </row>
    <row r="240" spans="1:28" x14ac:dyDescent="0.3">
      <c r="A240" t="s">
        <v>204</v>
      </c>
      <c r="B240" t="s">
        <v>204</v>
      </c>
      <c r="C240"/>
      <c r="D240" t="s">
        <v>513</v>
      </c>
      <c r="E240"/>
      <c r="F240"/>
      <c r="G240">
        <v>9.9024999999999999</v>
      </c>
      <c r="H240">
        <v>1</v>
      </c>
      <c r="I240">
        <v>0</v>
      </c>
      <c r="J240">
        <v>0</v>
      </c>
      <c r="K240">
        <v>0</v>
      </c>
      <c r="L240">
        <v>0</v>
      </c>
      <c r="M240">
        <v>1</v>
      </c>
      <c r="N240">
        <v>0</v>
      </c>
      <c r="O240">
        <v>1</v>
      </c>
      <c r="P240">
        <v>0</v>
      </c>
      <c r="Q240">
        <v>0</v>
      </c>
      <c r="R240">
        <v>0</v>
      </c>
      <c r="S240">
        <v>0</v>
      </c>
      <c r="T240">
        <v>0</v>
      </c>
      <c r="U240">
        <v>0</v>
      </c>
      <c r="V240">
        <v>0</v>
      </c>
      <c r="W240">
        <v>0</v>
      </c>
      <c r="X240">
        <v>1</v>
      </c>
      <c r="Y240">
        <v>3</v>
      </c>
      <c r="Z240">
        <v>1</v>
      </c>
      <c r="AA240" t="b">
        <v>1</v>
      </c>
    </row>
    <row r="241" spans="1:27" x14ac:dyDescent="0.3">
      <c r="A241" t="s">
        <v>205</v>
      </c>
      <c r="B241" t="s">
        <v>205</v>
      </c>
      <c r="C241"/>
      <c r="D241"/>
      <c r="E241"/>
      <c r="F241"/>
      <c r="G241">
        <v>7.26</v>
      </c>
      <c r="H241">
        <v>1</v>
      </c>
      <c r="I241">
        <v>0</v>
      </c>
      <c r="J241">
        <v>0</v>
      </c>
      <c r="K241">
        <v>0</v>
      </c>
      <c r="L241">
        <v>0</v>
      </c>
      <c r="M241">
        <v>1</v>
      </c>
      <c r="N241">
        <v>1</v>
      </c>
      <c r="O241">
        <v>0</v>
      </c>
      <c r="P241">
        <v>0</v>
      </c>
      <c r="Q241">
        <v>0</v>
      </c>
      <c r="R241">
        <v>0</v>
      </c>
      <c r="S241">
        <v>1</v>
      </c>
      <c r="T241">
        <v>0</v>
      </c>
      <c r="U241">
        <v>0</v>
      </c>
      <c r="V241">
        <v>1</v>
      </c>
      <c r="W241">
        <v>0</v>
      </c>
      <c r="X241">
        <v>1</v>
      </c>
      <c r="Y241">
        <v>3</v>
      </c>
      <c r="Z241">
        <v>3</v>
      </c>
      <c r="AA241" t="b">
        <v>0</v>
      </c>
    </row>
    <row r="242" spans="1:27" x14ac:dyDescent="0.3">
      <c r="A242" t="s">
        <v>206</v>
      </c>
      <c r="B242" t="s">
        <v>206</v>
      </c>
      <c r="C242"/>
      <c r="D242"/>
      <c r="E242"/>
      <c r="F242"/>
      <c r="G242">
        <v>6.2625000000000002</v>
      </c>
      <c r="H242">
        <v>0</v>
      </c>
      <c r="I242">
        <v>1</v>
      </c>
      <c r="J242">
        <v>1</v>
      </c>
      <c r="K242">
        <v>0</v>
      </c>
      <c r="L242">
        <v>1</v>
      </c>
      <c r="M242">
        <v>0</v>
      </c>
      <c r="N242">
        <v>0</v>
      </c>
      <c r="O242">
        <v>0</v>
      </c>
      <c r="P242">
        <v>0</v>
      </c>
      <c r="Q242">
        <v>0</v>
      </c>
      <c r="R242">
        <v>0</v>
      </c>
      <c r="S242">
        <v>0</v>
      </c>
      <c r="T242">
        <v>0</v>
      </c>
      <c r="U242">
        <v>0</v>
      </c>
      <c r="V242">
        <v>0</v>
      </c>
      <c r="W242">
        <v>0</v>
      </c>
      <c r="X242">
        <v>1</v>
      </c>
      <c r="Y242">
        <v>3</v>
      </c>
      <c r="Z242">
        <v>1</v>
      </c>
      <c r="AA242" t="b">
        <v>0</v>
      </c>
    </row>
    <row r="243" spans="1:27" x14ac:dyDescent="0.3">
      <c r="A243" t="s">
        <v>207</v>
      </c>
      <c r="B243" t="s">
        <v>207</v>
      </c>
      <c r="C243"/>
      <c r="D243"/>
      <c r="E243"/>
      <c r="F243"/>
      <c r="G243">
        <v>5.3125</v>
      </c>
      <c r="H243">
        <v>1</v>
      </c>
      <c r="I243">
        <v>0</v>
      </c>
      <c r="J243">
        <v>1</v>
      </c>
      <c r="K243">
        <v>0</v>
      </c>
      <c r="L243">
        <v>1</v>
      </c>
      <c r="M243">
        <v>0</v>
      </c>
      <c r="N243">
        <v>1</v>
      </c>
      <c r="O243">
        <v>0</v>
      </c>
      <c r="P243">
        <v>0</v>
      </c>
      <c r="Q243">
        <v>0</v>
      </c>
      <c r="R243">
        <v>0</v>
      </c>
      <c r="S243">
        <v>0</v>
      </c>
      <c r="T243">
        <v>0</v>
      </c>
      <c r="U243">
        <v>0</v>
      </c>
      <c r="V243">
        <v>0</v>
      </c>
      <c r="W243">
        <v>0</v>
      </c>
      <c r="X243">
        <v>1</v>
      </c>
      <c r="Y243">
        <v>4</v>
      </c>
      <c r="Z243">
        <v>1</v>
      </c>
      <c r="AA243" t="b">
        <v>1</v>
      </c>
    </row>
    <row r="244" spans="1:27" x14ac:dyDescent="0.3">
      <c r="A244" t="s">
        <v>208</v>
      </c>
      <c r="B244" t="s">
        <v>208</v>
      </c>
      <c r="C244"/>
      <c r="D244"/>
      <c r="E244"/>
      <c r="F244"/>
      <c r="G244">
        <v>3.25</v>
      </c>
      <c r="H244">
        <v>1</v>
      </c>
      <c r="I244">
        <v>1</v>
      </c>
      <c r="J244">
        <v>1</v>
      </c>
      <c r="K244">
        <v>1</v>
      </c>
      <c r="L244">
        <v>0</v>
      </c>
      <c r="M244">
        <v>0</v>
      </c>
      <c r="N244">
        <v>0</v>
      </c>
      <c r="O244">
        <v>0</v>
      </c>
      <c r="P244">
        <v>1</v>
      </c>
      <c r="Q244">
        <v>0</v>
      </c>
      <c r="R244">
        <v>0</v>
      </c>
      <c r="S244">
        <v>0</v>
      </c>
      <c r="T244">
        <v>0</v>
      </c>
      <c r="U244">
        <v>0</v>
      </c>
      <c r="V244">
        <v>1</v>
      </c>
      <c r="W244">
        <v>0</v>
      </c>
      <c r="X244">
        <v>1</v>
      </c>
      <c r="Y244">
        <v>5</v>
      </c>
      <c r="Z244">
        <v>2</v>
      </c>
      <c r="AA244" t="b">
        <v>0</v>
      </c>
    </row>
    <row r="245" spans="1:27" s="2" customFormat="1" x14ac:dyDescent="0.3">
      <c r="A245" s="3"/>
      <c r="B245" s="3" t="s">
        <v>502</v>
      </c>
      <c r="C245" s="3"/>
      <c r="D245" s="3" t="s">
        <v>502</v>
      </c>
      <c r="E245" s="3" t="s">
        <v>502</v>
      </c>
      <c r="F245" s="3"/>
      <c r="G245" s="3">
        <f>(2.7+3.2)/2</f>
        <v>2.95</v>
      </c>
      <c r="H245" s="3"/>
      <c r="I245" s="3"/>
      <c r="J245" s="3"/>
      <c r="K245" s="3"/>
      <c r="L245" s="3"/>
      <c r="M245" s="3"/>
      <c r="N245" s="3"/>
      <c r="O245" s="3"/>
      <c r="P245" s="3"/>
      <c r="Q245" s="3"/>
      <c r="R245" s="3"/>
      <c r="S245" s="3">
        <v>0</v>
      </c>
      <c r="T245" s="3">
        <v>0</v>
      </c>
      <c r="U245" s="3">
        <v>0</v>
      </c>
      <c r="V245" s="3">
        <v>1</v>
      </c>
      <c r="W245" s="3">
        <v>1</v>
      </c>
      <c r="X245" s="3">
        <v>0</v>
      </c>
      <c r="Y245" s="3"/>
      <c r="Z245" s="3">
        <v>2</v>
      </c>
      <c r="AA245" s="3" t="b">
        <v>0</v>
      </c>
    </row>
    <row r="246" spans="1:27" s="2" customFormat="1" x14ac:dyDescent="0.3">
      <c r="A246" s="3"/>
      <c r="B246" s="3" t="s">
        <v>477</v>
      </c>
      <c r="C246" s="3"/>
      <c r="D246" s="3" t="s">
        <v>478</v>
      </c>
      <c r="E246" s="3" t="s">
        <v>478</v>
      </c>
      <c r="F246" s="3"/>
      <c r="G246" s="3">
        <v>1.9</v>
      </c>
      <c r="H246" s="3"/>
      <c r="I246" s="3"/>
      <c r="J246" s="3"/>
      <c r="K246" s="3"/>
      <c r="L246" s="3"/>
      <c r="M246" s="3"/>
      <c r="N246" s="3"/>
      <c r="O246" s="3"/>
      <c r="P246" s="3"/>
      <c r="Q246" s="3"/>
      <c r="R246" s="3"/>
      <c r="S246" s="3">
        <v>0</v>
      </c>
      <c r="T246" s="3">
        <v>0</v>
      </c>
      <c r="U246" s="3">
        <v>0</v>
      </c>
      <c r="V246" s="3">
        <v>0</v>
      </c>
      <c r="W246" s="3">
        <v>1</v>
      </c>
      <c r="X246" s="3">
        <v>1</v>
      </c>
      <c r="Y246" s="3"/>
      <c r="Z246" s="3">
        <v>2</v>
      </c>
      <c r="AA246" s="3" t="b">
        <v>0</v>
      </c>
    </row>
    <row r="247" spans="1:27" x14ac:dyDescent="0.3">
      <c r="A247" t="s">
        <v>318</v>
      </c>
      <c r="B247" t="s">
        <v>420</v>
      </c>
      <c r="C247"/>
      <c r="D247" t="s">
        <v>318</v>
      </c>
      <c r="E247" t="s">
        <v>318</v>
      </c>
      <c r="F247"/>
      <c r="G247">
        <v>4.9833350000000003</v>
      </c>
      <c r="H247">
        <v>1</v>
      </c>
      <c r="I247">
        <v>0</v>
      </c>
      <c r="J247">
        <v>1</v>
      </c>
      <c r="K247">
        <v>0</v>
      </c>
      <c r="L247">
        <v>1</v>
      </c>
      <c r="M247">
        <v>0</v>
      </c>
      <c r="N247">
        <v>0</v>
      </c>
      <c r="O247">
        <v>1</v>
      </c>
      <c r="P247">
        <v>0</v>
      </c>
      <c r="Q247">
        <v>0</v>
      </c>
      <c r="R247">
        <v>0</v>
      </c>
      <c r="S247">
        <v>0</v>
      </c>
      <c r="T247">
        <v>0</v>
      </c>
      <c r="U247">
        <v>0</v>
      </c>
      <c r="V247">
        <v>0</v>
      </c>
      <c r="W247">
        <v>0</v>
      </c>
      <c r="X247">
        <v>0</v>
      </c>
      <c r="Y247">
        <v>4</v>
      </c>
      <c r="Z247">
        <v>0</v>
      </c>
      <c r="AA247" t="b">
        <v>0</v>
      </c>
    </row>
    <row r="248" spans="1:27" x14ac:dyDescent="0.3">
      <c r="A248" t="s">
        <v>209</v>
      </c>
      <c r="B248" t="s">
        <v>209</v>
      </c>
      <c r="C248"/>
      <c r="D248"/>
      <c r="E248"/>
      <c r="F248"/>
      <c r="G248">
        <v>6.12</v>
      </c>
      <c r="H248">
        <v>0</v>
      </c>
      <c r="I248">
        <v>0</v>
      </c>
      <c r="J248">
        <v>1</v>
      </c>
      <c r="K248">
        <v>0</v>
      </c>
      <c r="L248">
        <v>0</v>
      </c>
      <c r="M248">
        <v>1</v>
      </c>
      <c r="N248">
        <v>1</v>
      </c>
      <c r="O248">
        <v>0</v>
      </c>
      <c r="P248">
        <v>0</v>
      </c>
      <c r="Q248">
        <v>1</v>
      </c>
      <c r="R248">
        <v>0</v>
      </c>
      <c r="S248">
        <v>0</v>
      </c>
      <c r="T248">
        <v>0</v>
      </c>
      <c r="U248">
        <v>0</v>
      </c>
      <c r="V248">
        <v>0</v>
      </c>
      <c r="W248">
        <v>0</v>
      </c>
      <c r="X248">
        <v>0</v>
      </c>
      <c r="Y248">
        <v>4</v>
      </c>
      <c r="Z248">
        <v>0</v>
      </c>
      <c r="AA248" t="b">
        <v>1</v>
      </c>
    </row>
    <row r="249" spans="1:27" x14ac:dyDescent="0.3">
      <c r="A249" t="s">
        <v>210</v>
      </c>
      <c r="B249" t="s">
        <v>210</v>
      </c>
      <c r="C249"/>
      <c r="D249"/>
      <c r="E249"/>
      <c r="F249"/>
      <c r="G249">
        <v>7.3417424249999996</v>
      </c>
      <c r="H249">
        <v>1</v>
      </c>
      <c r="I249">
        <v>0</v>
      </c>
      <c r="J249">
        <v>1</v>
      </c>
      <c r="K249">
        <v>0</v>
      </c>
      <c r="L249">
        <v>1</v>
      </c>
      <c r="M249">
        <v>1</v>
      </c>
      <c r="N249">
        <v>1</v>
      </c>
      <c r="O249">
        <v>0</v>
      </c>
      <c r="P249">
        <v>0</v>
      </c>
      <c r="Q249">
        <v>0</v>
      </c>
      <c r="R249">
        <v>0</v>
      </c>
      <c r="S249">
        <v>0</v>
      </c>
      <c r="T249">
        <v>0</v>
      </c>
      <c r="U249">
        <v>0</v>
      </c>
      <c r="V249">
        <v>0</v>
      </c>
      <c r="W249">
        <v>0</v>
      </c>
      <c r="X249">
        <v>1</v>
      </c>
      <c r="Y249">
        <v>5</v>
      </c>
      <c r="Z249">
        <v>1</v>
      </c>
      <c r="AA249" t="b">
        <v>1</v>
      </c>
    </row>
    <row r="250" spans="1:27" x14ac:dyDescent="0.3">
      <c r="A250" t="s">
        <v>211</v>
      </c>
      <c r="B250" t="s">
        <v>491</v>
      </c>
      <c r="C250"/>
      <c r="D250" t="s">
        <v>211</v>
      </c>
      <c r="E250"/>
      <c r="F250"/>
      <c r="G250">
        <v>5.7153282829999998</v>
      </c>
      <c r="H250">
        <v>1</v>
      </c>
      <c r="I250">
        <v>0</v>
      </c>
      <c r="J250">
        <v>1</v>
      </c>
      <c r="K250">
        <v>0</v>
      </c>
      <c r="L250">
        <v>0</v>
      </c>
      <c r="M250">
        <v>0</v>
      </c>
      <c r="N250">
        <v>1</v>
      </c>
      <c r="O250">
        <v>0</v>
      </c>
      <c r="P250">
        <v>0</v>
      </c>
      <c r="Q250">
        <v>1</v>
      </c>
      <c r="R250">
        <v>0</v>
      </c>
      <c r="S250">
        <v>0</v>
      </c>
      <c r="T250">
        <v>0</v>
      </c>
      <c r="U250">
        <v>0</v>
      </c>
      <c r="V250">
        <v>0</v>
      </c>
      <c r="W250">
        <v>0</v>
      </c>
      <c r="X250">
        <v>1</v>
      </c>
      <c r="Y250">
        <v>4</v>
      </c>
      <c r="Z250">
        <v>1</v>
      </c>
      <c r="AA250" t="b">
        <v>1</v>
      </c>
    </row>
    <row r="251" spans="1:27" s="2" customFormat="1" x14ac:dyDescent="0.3">
      <c r="A251" s="3" t="s">
        <v>211</v>
      </c>
      <c r="B251" s="3" t="s">
        <v>211</v>
      </c>
      <c r="C251" s="3"/>
      <c r="D251" s="3"/>
      <c r="E251" s="3"/>
      <c r="F251" s="3"/>
      <c r="G251" s="3">
        <v>5.7153282829999998</v>
      </c>
      <c r="H251" s="3">
        <v>1</v>
      </c>
      <c r="I251" s="3">
        <v>0</v>
      </c>
      <c r="J251" s="3">
        <v>1</v>
      </c>
      <c r="K251" s="3">
        <v>0</v>
      </c>
      <c r="L251" s="3">
        <v>0</v>
      </c>
      <c r="M251" s="3">
        <v>0</v>
      </c>
      <c r="N251" s="3">
        <v>1</v>
      </c>
      <c r="O251" s="3">
        <v>0</v>
      </c>
      <c r="P251" s="3">
        <v>0</v>
      </c>
      <c r="Q251" s="3">
        <v>1</v>
      </c>
      <c r="R251" s="3">
        <v>0</v>
      </c>
      <c r="S251" s="3">
        <v>0</v>
      </c>
      <c r="T251" s="3">
        <v>0</v>
      </c>
      <c r="U251" s="3">
        <v>0</v>
      </c>
      <c r="V251" s="3">
        <v>0</v>
      </c>
      <c r="W251" s="3">
        <v>0</v>
      </c>
      <c r="X251" s="3">
        <v>1</v>
      </c>
      <c r="Y251" s="3">
        <v>4</v>
      </c>
      <c r="Z251" s="3">
        <v>1</v>
      </c>
      <c r="AA251" s="3" t="b">
        <v>1</v>
      </c>
    </row>
    <row r="252" spans="1:27" x14ac:dyDescent="0.3">
      <c r="A252" t="s">
        <v>212</v>
      </c>
      <c r="B252" t="s">
        <v>212</v>
      </c>
      <c r="C252"/>
      <c r="D252"/>
      <c r="E252"/>
      <c r="F252"/>
      <c r="G252">
        <v>2.6583333339999999</v>
      </c>
      <c r="H252">
        <v>1</v>
      </c>
      <c r="I252">
        <v>0</v>
      </c>
      <c r="J252">
        <v>1</v>
      </c>
      <c r="K252">
        <v>0</v>
      </c>
      <c r="L252">
        <v>0</v>
      </c>
      <c r="M252">
        <v>0</v>
      </c>
      <c r="N252">
        <v>0</v>
      </c>
      <c r="O252">
        <v>0</v>
      </c>
      <c r="P252">
        <v>0</v>
      </c>
      <c r="Q252">
        <v>0</v>
      </c>
      <c r="R252">
        <v>0</v>
      </c>
      <c r="S252">
        <v>0</v>
      </c>
      <c r="T252">
        <v>0</v>
      </c>
      <c r="U252">
        <v>0</v>
      </c>
      <c r="V252">
        <v>0</v>
      </c>
      <c r="W252">
        <v>0</v>
      </c>
      <c r="X252">
        <v>1</v>
      </c>
      <c r="Y252">
        <v>2</v>
      </c>
      <c r="Z252">
        <v>1</v>
      </c>
      <c r="AA252" t="b">
        <v>1</v>
      </c>
    </row>
    <row r="253" spans="1:27" x14ac:dyDescent="0.3">
      <c r="A253" t="s">
        <v>213</v>
      </c>
      <c r="B253" t="s">
        <v>213</v>
      </c>
      <c r="C253"/>
      <c r="D253"/>
      <c r="E253"/>
      <c r="F253"/>
      <c r="G253">
        <v>3.56</v>
      </c>
      <c r="H253">
        <v>1</v>
      </c>
      <c r="I253">
        <v>0</v>
      </c>
      <c r="J253">
        <v>1</v>
      </c>
      <c r="K253">
        <v>1</v>
      </c>
      <c r="L253">
        <v>0</v>
      </c>
      <c r="M253">
        <v>1</v>
      </c>
      <c r="N253">
        <v>1</v>
      </c>
      <c r="O253">
        <v>0</v>
      </c>
      <c r="P253">
        <v>0</v>
      </c>
      <c r="Q253">
        <v>0</v>
      </c>
      <c r="R253">
        <v>0</v>
      </c>
      <c r="S253">
        <v>0</v>
      </c>
      <c r="T253">
        <v>0</v>
      </c>
      <c r="U253">
        <v>0</v>
      </c>
      <c r="V253">
        <v>0</v>
      </c>
      <c r="W253">
        <v>1</v>
      </c>
      <c r="X253">
        <v>0</v>
      </c>
      <c r="Y253">
        <v>5</v>
      </c>
      <c r="Z253">
        <v>1</v>
      </c>
      <c r="AA253" t="b">
        <v>0</v>
      </c>
    </row>
    <row r="254" spans="1:27" x14ac:dyDescent="0.3">
      <c r="A254" t="s">
        <v>214</v>
      </c>
      <c r="B254"/>
      <c r="C254" t="s">
        <v>421</v>
      </c>
      <c r="D254"/>
      <c r="E254"/>
      <c r="F254"/>
      <c r="G254">
        <v>3.5916666670000001</v>
      </c>
      <c r="H254">
        <v>0</v>
      </c>
      <c r="I254">
        <v>0</v>
      </c>
      <c r="J254">
        <v>0</v>
      </c>
      <c r="K254">
        <v>1</v>
      </c>
      <c r="L254">
        <v>0</v>
      </c>
      <c r="M254">
        <v>1</v>
      </c>
      <c r="N254">
        <v>0</v>
      </c>
      <c r="O254">
        <v>0</v>
      </c>
      <c r="P254">
        <v>0</v>
      </c>
      <c r="Q254">
        <v>0</v>
      </c>
      <c r="R254">
        <v>0</v>
      </c>
      <c r="S254">
        <v>0</v>
      </c>
      <c r="T254">
        <v>0</v>
      </c>
      <c r="U254">
        <v>0</v>
      </c>
      <c r="V254">
        <v>0</v>
      </c>
      <c r="W254">
        <v>0</v>
      </c>
      <c r="X254">
        <v>0</v>
      </c>
      <c r="Y254">
        <v>2</v>
      </c>
      <c r="Z254">
        <v>0</v>
      </c>
      <c r="AA254" t="b">
        <v>0</v>
      </c>
    </row>
    <row r="255" spans="1:27" x14ac:dyDescent="0.3">
      <c r="A255" t="s">
        <v>319</v>
      </c>
      <c r="B255" t="s">
        <v>422</v>
      </c>
      <c r="C255"/>
      <c r="D255" t="s">
        <v>319</v>
      </c>
      <c r="E255" t="s">
        <v>319</v>
      </c>
      <c r="F255"/>
      <c r="G255">
        <v>3.2333150000000002</v>
      </c>
      <c r="H255">
        <v>1</v>
      </c>
      <c r="I255">
        <v>0</v>
      </c>
      <c r="J255">
        <v>0</v>
      </c>
      <c r="K255">
        <v>0</v>
      </c>
      <c r="L255">
        <v>0</v>
      </c>
      <c r="M255">
        <v>1</v>
      </c>
      <c r="N255">
        <v>0</v>
      </c>
      <c r="O255">
        <v>0</v>
      </c>
      <c r="P255">
        <v>0</v>
      </c>
      <c r="Q255">
        <v>0</v>
      </c>
      <c r="R255">
        <v>0</v>
      </c>
      <c r="S255">
        <v>0</v>
      </c>
      <c r="T255">
        <v>0</v>
      </c>
      <c r="U255">
        <v>0</v>
      </c>
      <c r="V255">
        <v>0</v>
      </c>
      <c r="W255">
        <v>0</v>
      </c>
      <c r="X255">
        <v>0</v>
      </c>
      <c r="Y255">
        <v>2</v>
      </c>
      <c r="Z255">
        <v>0</v>
      </c>
      <c r="AA255" t="b">
        <v>0</v>
      </c>
    </row>
    <row r="256" spans="1:27" s="2" customFormat="1" x14ac:dyDescent="0.3">
      <c r="A256" s="3" t="s">
        <v>300</v>
      </c>
      <c r="B256" s="3" t="s">
        <v>497</v>
      </c>
      <c r="C256" s="3"/>
      <c r="D256" s="3" t="s">
        <v>300</v>
      </c>
      <c r="E256" s="3" t="s">
        <v>300</v>
      </c>
      <c r="F256" s="3"/>
      <c r="G256" s="3">
        <v>3.1166649999999998</v>
      </c>
      <c r="H256" s="3">
        <v>1</v>
      </c>
      <c r="I256" s="3">
        <v>0</v>
      </c>
      <c r="J256" s="3">
        <v>0</v>
      </c>
      <c r="K256" s="3">
        <v>0</v>
      </c>
      <c r="L256" s="3">
        <v>1</v>
      </c>
      <c r="M256" s="3">
        <v>1</v>
      </c>
      <c r="N256" s="3">
        <v>1</v>
      </c>
      <c r="O256" s="3">
        <v>0</v>
      </c>
      <c r="P256" s="3">
        <v>0</v>
      </c>
      <c r="Q256" s="3">
        <v>0</v>
      </c>
      <c r="R256" s="3">
        <v>0</v>
      </c>
      <c r="S256" s="3">
        <v>0</v>
      </c>
      <c r="T256" s="3">
        <v>0</v>
      </c>
      <c r="U256" s="3">
        <v>0</v>
      </c>
      <c r="V256" s="3">
        <v>0</v>
      </c>
      <c r="W256" s="3">
        <v>0</v>
      </c>
      <c r="X256" s="3">
        <v>1</v>
      </c>
      <c r="Y256" s="3">
        <v>4</v>
      </c>
      <c r="Z256" s="3">
        <v>1</v>
      </c>
      <c r="AA256" s="3" t="b">
        <v>1</v>
      </c>
    </row>
    <row r="257" spans="1:27" x14ac:dyDescent="0.3">
      <c r="A257" t="s">
        <v>300</v>
      </c>
      <c r="B257" t="s">
        <v>423</v>
      </c>
      <c r="C257"/>
      <c r="D257" t="s">
        <v>300</v>
      </c>
      <c r="E257" t="s">
        <v>300</v>
      </c>
      <c r="F257"/>
      <c r="G257">
        <v>3.1166649999999998</v>
      </c>
      <c r="H257">
        <v>1</v>
      </c>
      <c r="I257">
        <v>0</v>
      </c>
      <c r="J257">
        <v>0</v>
      </c>
      <c r="K257">
        <v>0</v>
      </c>
      <c r="L257">
        <v>1</v>
      </c>
      <c r="M257">
        <v>1</v>
      </c>
      <c r="N257">
        <v>1</v>
      </c>
      <c r="O257">
        <v>0</v>
      </c>
      <c r="P257">
        <v>0</v>
      </c>
      <c r="Q257">
        <v>0</v>
      </c>
      <c r="R257">
        <v>0</v>
      </c>
      <c r="S257">
        <v>0</v>
      </c>
      <c r="T257">
        <v>0</v>
      </c>
      <c r="U257">
        <v>0</v>
      </c>
      <c r="V257">
        <v>0</v>
      </c>
      <c r="W257">
        <v>0</v>
      </c>
      <c r="X257">
        <v>1</v>
      </c>
      <c r="Y257">
        <v>4</v>
      </c>
      <c r="Z257">
        <v>1</v>
      </c>
      <c r="AA257" t="b">
        <v>1</v>
      </c>
    </row>
    <row r="258" spans="1:27" x14ac:dyDescent="0.3">
      <c r="A258" t="s">
        <v>215</v>
      </c>
      <c r="B258" t="s">
        <v>215</v>
      </c>
      <c r="C258"/>
      <c r="D258"/>
      <c r="E258"/>
      <c r="F258"/>
      <c r="G258">
        <v>3.03</v>
      </c>
      <c r="H258">
        <v>1</v>
      </c>
      <c r="I258">
        <v>1</v>
      </c>
      <c r="J258">
        <v>0</v>
      </c>
      <c r="K258">
        <v>0</v>
      </c>
      <c r="L258">
        <v>0</v>
      </c>
      <c r="M258">
        <v>1</v>
      </c>
      <c r="N258">
        <v>1</v>
      </c>
      <c r="O258">
        <v>0</v>
      </c>
      <c r="P258">
        <v>0</v>
      </c>
      <c r="Q258">
        <v>0</v>
      </c>
      <c r="R258">
        <v>0</v>
      </c>
      <c r="S258">
        <v>0</v>
      </c>
      <c r="T258">
        <v>0</v>
      </c>
      <c r="U258">
        <v>0</v>
      </c>
      <c r="V258">
        <v>0</v>
      </c>
      <c r="W258">
        <v>1</v>
      </c>
      <c r="X258">
        <v>0</v>
      </c>
      <c r="Y258">
        <v>4</v>
      </c>
      <c r="Z258">
        <v>1</v>
      </c>
      <c r="AA258" t="b">
        <v>0</v>
      </c>
    </row>
    <row r="259" spans="1:27" x14ac:dyDescent="0.3">
      <c r="A259" t="s">
        <v>216</v>
      </c>
      <c r="B259"/>
      <c r="C259" t="s">
        <v>424</v>
      </c>
      <c r="D259"/>
      <c r="E259"/>
      <c r="F259"/>
      <c r="G259">
        <v>3.5125000000000002</v>
      </c>
      <c r="H259">
        <v>1</v>
      </c>
      <c r="I259">
        <v>0</v>
      </c>
      <c r="J259">
        <v>0</v>
      </c>
      <c r="K259">
        <v>1</v>
      </c>
      <c r="L259">
        <v>0</v>
      </c>
      <c r="M259">
        <v>1</v>
      </c>
      <c r="N259">
        <v>1</v>
      </c>
      <c r="O259">
        <v>0</v>
      </c>
      <c r="P259">
        <v>0</v>
      </c>
      <c r="Q259">
        <v>0</v>
      </c>
      <c r="R259">
        <v>0</v>
      </c>
      <c r="S259">
        <v>0</v>
      </c>
      <c r="T259">
        <v>0</v>
      </c>
      <c r="U259">
        <v>0</v>
      </c>
      <c r="V259">
        <v>0</v>
      </c>
      <c r="W259">
        <v>0</v>
      </c>
      <c r="X259">
        <v>0</v>
      </c>
      <c r="Y259">
        <v>4</v>
      </c>
      <c r="Z259">
        <v>0</v>
      </c>
      <c r="AA259" t="b">
        <v>0</v>
      </c>
    </row>
    <row r="260" spans="1:27" x14ac:dyDescent="0.3">
      <c r="A260" t="s">
        <v>217</v>
      </c>
      <c r="B260" t="s">
        <v>217</v>
      </c>
      <c r="C260" t="s">
        <v>425</v>
      </c>
      <c r="D260"/>
      <c r="E260"/>
      <c r="F260"/>
      <c r="G260">
        <v>2.99</v>
      </c>
      <c r="H260">
        <v>1</v>
      </c>
      <c r="I260">
        <v>1</v>
      </c>
      <c r="J260">
        <v>0</v>
      </c>
      <c r="K260">
        <v>0</v>
      </c>
      <c r="L260">
        <v>1</v>
      </c>
      <c r="M260">
        <v>1</v>
      </c>
      <c r="N260">
        <v>0</v>
      </c>
      <c r="O260">
        <v>0</v>
      </c>
      <c r="P260">
        <v>0</v>
      </c>
      <c r="Q260">
        <v>0</v>
      </c>
      <c r="R260">
        <v>0</v>
      </c>
      <c r="S260">
        <v>0</v>
      </c>
      <c r="T260">
        <v>0</v>
      </c>
      <c r="U260">
        <v>0</v>
      </c>
      <c r="V260">
        <v>0</v>
      </c>
      <c r="W260">
        <v>0</v>
      </c>
      <c r="X260">
        <v>0</v>
      </c>
      <c r="Y260">
        <v>4</v>
      </c>
      <c r="Z260">
        <v>0</v>
      </c>
      <c r="AA260" t="b">
        <v>0</v>
      </c>
    </row>
    <row r="261" spans="1:27" x14ac:dyDescent="0.3">
      <c r="A261" t="s">
        <v>218</v>
      </c>
      <c r="B261" t="s">
        <v>218</v>
      </c>
      <c r="C261"/>
      <c r="D261"/>
      <c r="E261"/>
      <c r="F261"/>
      <c r="G261">
        <v>3.8</v>
      </c>
      <c r="H261">
        <v>0</v>
      </c>
      <c r="I261">
        <v>0</v>
      </c>
      <c r="J261">
        <v>0</v>
      </c>
      <c r="K261">
        <v>0</v>
      </c>
      <c r="L261">
        <v>0</v>
      </c>
      <c r="M261">
        <v>0</v>
      </c>
      <c r="N261">
        <v>0</v>
      </c>
      <c r="O261">
        <v>0</v>
      </c>
      <c r="P261">
        <v>0</v>
      </c>
      <c r="Q261">
        <v>0</v>
      </c>
      <c r="R261">
        <v>0</v>
      </c>
      <c r="S261">
        <v>0</v>
      </c>
      <c r="T261">
        <v>0</v>
      </c>
      <c r="U261">
        <v>0</v>
      </c>
      <c r="V261">
        <v>0</v>
      </c>
      <c r="W261">
        <v>0</v>
      </c>
      <c r="X261">
        <v>0</v>
      </c>
      <c r="Y261">
        <v>0</v>
      </c>
      <c r="Z261">
        <v>0</v>
      </c>
      <c r="AA261" t="b">
        <v>0</v>
      </c>
    </row>
    <row r="262" spans="1:27" x14ac:dyDescent="0.3">
      <c r="A262" t="s">
        <v>219</v>
      </c>
      <c r="B262" t="s">
        <v>219</v>
      </c>
      <c r="C262"/>
      <c r="D262"/>
      <c r="E262"/>
      <c r="F262"/>
      <c r="G262">
        <v>4.0999999999999996</v>
      </c>
      <c r="H262">
        <v>1</v>
      </c>
      <c r="I262">
        <v>1</v>
      </c>
      <c r="J262">
        <v>1</v>
      </c>
      <c r="K262">
        <v>0</v>
      </c>
      <c r="L262">
        <v>0</v>
      </c>
      <c r="M262">
        <v>0</v>
      </c>
      <c r="N262">
        <v>1</v>
      </c>
      <c r="O262">
        <v>1</v>
      </c>
      <c r="P262">
        <v>0</v>
      </c>
      <c r="Q262">
        <v>0</v>
      </c>
      <c r="R262">
        <v>0</v>
      </c>
      <c r="S262">
        <v>0</v>
      </c>
      <c r="T262">
        <v>0</v>
      </c>
      <c r="U262">
        <v>0</v>
      </c>
      <c r="V262">
        <v>0</v>
      </c>
      <c r="W262">
        <v>0</v>
      </c>
      <c r="X262">
        <v>0</v>
      </c>
      <c r="Y262">
        <v>5</v>
      </c>
      <c r="Z262">
        <v>0</v>
      </c>
      <c r="AA262" t="b">
        <v>0</v>
      </c>
    </row>
    <row r="263" spans="1:27" x14ac:dyDescent="0.3">
      <c r="A263" t="s">
        <v>220</v>
      </c>
      <c r="B263" t="s">
        <v>220</v>
      </c>
      <c r="C263"/>
      <c r="D263"/>
      <c r="E263"/>
      <c r="F263"/>
      <c r="G263">
        <v>4.3</v>
      </c>
      <c r="H263">
        <v>1</v>
      </c>
      <c r="I263">
        <v>1</v>
      </c>
      <c r="J263">
        <v>1</v>
      </c>
      <c r="K263">
        <v>0</v>
      </c>
      <c r="L263">
        <v>0</v>
      </c>
      <c r="M263">
        <v>0</v>
      </c>
      <c r="N263">
        <v>1</v>
      </c>
      <c r="O263">
        <v>1</v>
      </c>
      <c r="P263">
        <v>0</v>
      </c>
      <c r="Q263">
        <v>0</v>
      </c>
      <c r="R263">
        <v>0</v>
      </c>
      <c r="S263">
        <v>0</v>
      </c>
      <c r="T263">
        <v>0</v>
      </c>
      <c r="U263">
        <v>0</v>
      </c>
      <c r="V263">
        <v>0</v>
      </c>
      <c r="W263">
        <v>0</v>
      </c>
      <c r="X263">
        <v>0</v>
      </c>
      <c r="Y263">
        <v>5</v>
      </c>
      <c r="Z263">
        <v>0</v>
      </c>
      <c r="AA263" t="b">
        <v>0</v>
      </c>
    </row>
    <row r="264" spans="1:27" x14ac:dyDescent="0.3">
      <c r="A264" t="s">
        <v>221</v>
      </c>
      <c r="B264" t="s">
        <v>221</v>
      </c>
      <c r="C264"/>
      <c r="D264"/>
      <c r="E264"/>
      <c r="F264"/>
      <c r="G264">
        <v>4.4983333339999998</v>
      </c>
      <c r="H264">
        <v>1</v>
      </c>
      <c r="I264">
        <v>1</v>
      </c>
      <c r="J264">
        <v>1</v>
      </c>
      <c r="K264">
        <v>0</v>
      </c>
      <c r="L264">
        <v>1</v>
      </c>
      <c r="M264">
        <v>0</v>
      </c>
      <c r="N264">
        <v>1</v>
      </c>
      <c r="O264">
        <v>1</v>
      </c>
      <c r="P264">
        <v>0</v>
      </c>
      <c r="Q264">
        <v>0</v>
      </c>
      <c r="R264">
        <v>0</v>
      </c>
      <c r="S264">
        <v>0</v>
      </c>
      <c r="T264">
        <v>0</v>
      </c>
      <c r="U264">
        <v>0</v>
      </c>
      <c r="V264">
        <v>0</v>
      </c>
      <c r="W264">
        <v>0</v>
      </c>
      <c r="X264">
        <v>1</v>
      </c>
      <c r="Y264">
        <v>6</v>
      </c>
      <c r="Z264">
        <v>1</v>
      </c>
      <c r="AA264" t="b">
        <v>1</v>
      </c>
    </row>
    <row r="265" spans="1:27" x14ac:dyDescent="0.3">
      <c r="A265" t="s">
        <v>222</v>
      </c>
      <c r="B265" t="s">
        <v>222</v>
      </c>
      <c r="C265"/>
      <c r="D265"/>
      <c r="E265"/>
      <c r="F265"/>
      <c r="G265">
        <v>4.05</v>
      </c>
      <c r="H265">
        <v>0</v>
      </c>
      <c r="I265">
        <v>1</v>
      </c>
      <c r="J265">
        <v>0</v>
      </c>
      <c r="K265">
        <v>1</v>
      </c>
      <c r="L265">
        <v>0</v>
      </c>
      <c r="M265">
        <v>0</v>
      </c>
      <c r="N265">
        <v>1</v>
      </c>
      <c r="O265">
        <v>0</v>
      </c>
      <c r="P265">
        <v>0</v>
      </c>
      <c r="Q265">
        <v>0</v>
      </c>
      <c r="R265">
        <v>0</v>
      </c>
      <c r="S265">
        <v>0</v>
      </c>
      <c r="T265">
        <v>0</v>
      </c>
      <c r="U265">
        <v>0</v>
      </c>
      <c r="V265">
        <v>0</v>
      </c>
      <c r="W265">
        <v>0</v>
      </c>
      <c r="X265">
        <v>0</v>
      </c>
      <c r="Y265">
        <v>3</v>
      </c>
      <c r="Z265">
        <v>0</v>
      </c>
      <c r="AA265" t="b">
        <v>0</v>
      </c>
    </row>
    <row r="266" spans="1:27" x14ac:dyDescent="0.3">
      <c r="A266" t="s">
        <v>223</v>
      </c>
      <c r="B266" t="s">
        <v>342</v>
      </c>
      <c r="C266"/>
      <c r="D266" t="s">
        <v>342</v>
      </c>
      <c r="E266"/>
      <c r="F266"/>
      <c r="G266">
        <v>2.3624999999999998</v>
      </c>
      <c r="H266">
        <v>1</v>
      </c>
      <c r="I266">
        <v>0</v>
      </c>
      <c r="J266">
        <v>1</v>
      </c>
      <c r="K266">
        <v>1</v>
      </c>
      <c r="L266">
        <v>1</v>
      </c>
      <c r="M266">
        <v>1</v>
      </c>
      <c r="N266">
        <v>0</v>
      </c>
      <c r="O266">
        <v>0</v>
      </c>
      <c r="P266">
        <v>1</v>
      </c>
      <c r="Q266">
        <v>0</v>
      </c>
      <c r="R266">
        <v>0</v>
      </c>
      <c r="S266">
        <v>0</v>
      </c>
      <c r="T266">
        <v>0</v>
      </c>
      <c r="U266">
        <v>0</v>
      </c>
      <c r="V266">
        <v>0</v>
      </c>
      <c r="W266">
        <v>1</v>
      </c>
      <c r="X266">
        <v>1</v>
      </c>
      <c r="Y266">
        <v>6</v>
      </c>
      <c r="Z266">
        <v>2</v>
      </c>
      <c r="AA266" t="b">
        <v>1</v>
      </c>
    </row>
    <row r="267" spans="1:27" x14ac:dyDescent="0.3">
      <c r="A267" t="s">
        <v>224</v>
      </c>
      <c r="B267" t="s">
        <v>224</v>
      </c>
      <c r="C267"/>
      <c r="D267"/>
      <c r="E267"/>
      <c r="F267"/>
      <c r="G267">
        <v>3.1</v>
      </c>
      <c r="H267">
        <v>0</v>
      </c>
      <c r="I267">
        <v>0</v>
      </c>
      <c r="J267">
        <v>0</v>
      </c>
      <c r="K267">
        <v>0</v>
      </c>
      <c r="L267">
        <v>0</v>
      </c>
      <c r="M267">
        <v>0</v>
      </c>
      <c r="N267">
        <v>0</v>
      </c>
      <c r="O267">
        <v>0</v>
      </c>
      <c r="P267">
        <v>1</v>
      </c>
      <c r="Q267">
        <v>0</v>
      </c>
      <c r="R267">
        <v>0</v>
      </c>
      <c r="S267">
        <v>0</v>
      </c>
      <c r="T267">
        <v>0</v>
      </c>
      <c r="U267">
        <v>0</v>
      </c>
      <c r="V267">
        <v>0</v>
      </c>
      <c r="W267">
        <v>0</v>
      </c>
      <c r="X267">
        <v>0</v>
      </c>
      <c r="Y267">
        <v>1</v>
      </c>
      <c r="Z267">
        <v>0</v>
      </c>
      <c r="AA267" t="b">
        <v>0</v>
      </c>
    </row>
    <row r="268" spans="1:27" x14ac:dyDescent="0.3">
      <c r="A268" t="s">
        <v>225</v>
      </c>
      <c r="B268" t="s">
        <v>343</v>
      </c>
      <c r="C268"/>
      <c r="D268" t="s">
        <v>343</v>
      </c>
      <c r="E268"/>
      <c r="F268"/>
      <c r="G268">
        <v>2.2285650000000001</v>
      </c>
      <c r="H268">
        <v>1</v>
      </c>
      <c r="I268">
        <v>1</v>
      </c>
      <c r="J268">
        <v>1</v>
      </c>
      <c r="K268">
        <v>1</v>
      </c>
      <c r="L268">
        <v>0</v>
      </c>
      <c r="M268">
        <v>1</v>
      </c>
      <c r="N268">
        <v>0</v>
      </c>
      <c r="O268">
        <v>0</v>
      </c>
      <c r="P268">
        <v>1</v>
      </c>
      <c r="Q268">
        <v>0</v>
      </c>
      <c r="R268">
        <v>0</v>
      </c>
      <c r="S268">
        <v>0</v>
      </c>
      <c r="T268">
        <v>0</v>
      </c>
      <c r="U268">
        <v>0</v>
      </c>
      <c r="V268">
        <v>0</v>
      </c>
      <c r="W268">
        <v>0</v>
      </c>
      <c r="X268">
        <v>1</v>
      </c>
      <c r="Y268">
        <v>6</v>
      </c>
      <c r="Z268">
        <v>1</v>
      </c>
      <c r="AA268" t="b">
        <v>0</v>
      </c>
    </row>
    <row r="269" spans="1:27" x14ac:dyDescent="0.3">
      <c r="A269" t="s">
        <v>353</v>
      </c>
      <c r="B269" t="s">
        <v>426</v>
      </c>
      <c r="C269"/>
      <c r="D269" t="s">
        <v>338</v>
      </c>
      <c r="E269" t="s">
        <v>353</v>
      </c>
      <c r="F269"/>
      <c r="G269">
        <v>2.8</v>
      </c>
      <c r="H269">
        <v>1</v>
      </c>
      <c r="I269">
        <v>0</v>
      </c>
      <c r="J269">
        <v>1</v>
      </c>
      <c r="K269">
        <v>1</v>
      </c>
      <c r="L269">
        <v>0</v>
      </c>
      <c r="M269">
        <v>0</v>
      </c>
      <c r="N269">
        <v>0</v>
      </c>
      <c r="O269">
        <v>0</v>
      </c>
      <c r="P269">
        <v>1</v>
      </c>
      <c r="Q269">
        <v>0</v>
      </c>
      <c r="R269">
        <v>0</v>
      </c>
      <c r="S269">
        <v>0</v>
      </c>
      <c r="T269">
        <v>0</v>
      </c>
      <c r="U269">
        <v>0</v>
      </c>
      <c r="V269">
        <v>0</v>
      </c>
      <c r="W269">
        <v>0</v>
      </c>
      <c r="X269">
        <v>1</v>
      </c>
      <c r="Y269">
        <v>4</v>
      </c>
      <c r="Z269">
        <v>1</v>
      </c>
      <c r="AA269" t="b">
        <v>0</v>
      </c>
    </row>
    <row r="270" spans="1:27" x14ac:dyDescent="0.3">
      <c r="A270" t="s">
        <v>226</v>
      </c>
      <c r="B270" t="s">
        <v>427</v>
      </c>
      <c r="C270"/>
      <c r="D270"/>
      <c r="E270"/>
      <c r="F270"/>
      <c r="G270">
        <v>2.5750000000000002</v>
      </c>
      <c r="H270">
        <v>1</v>
      </c>
      <c r="I270">
        <v>0</v>
      </c>
      <c r="J270">
        <v>0</v>
      </c>
      <c r="K270">
        <v>1</v>
      </c>
      <c r="L270">
        <v>0</v>
      </c>
      <c r="M270">
        <v>1</v>
      </c>
      <c r="N270">
        <v>0</v>
      </c>
      <c r="O270">
        <v>0</v>
      </c>
      <c r="P270">
        <v>1</v>
      </c>
      <c r="Q270">
        <v>0</v>
      </c>
      <c r="R270">
        <v>0</v>
      </c>
      <c r="S270">
        <v>0</v>
      </c>
      <c r="T270">
        <v>0</v>
      </c>
      <c r="U270">
        <v>0</v>
      </c>
      <c r="V270">
        <v>0</v>
      </c>
      <c r="W270">
        <v>0</v>
      </c>
      <c r="X270">
        <v>1</v>
      </c>
      <c r="Y270">
        <v>4</v>
      </c>
      <c r="Z270">
        <v>1</v>
      </c>
      <c r="AA270" t="b">
        <v>0</v>
      </c>
    </row>
    <row r="271" spans="1:27" x14ac:dyDescent="0.3">
      <c r="A271" t="s">
        <v>227</v>
      </c>
      <c r="B271" t="s">
        <v>344</v>
      </c>
      <c r="C271"/>
      <c r="D271" t="s">
        <v>344</v>
      </c>
      <c r="E271"/>
      <c r="F271"/>
      <c r="G271">
        <v>2.2999999999999998</v>
      </c>
      <c r="H271">
        <v>0</v>
      </c>
      <c r="I271">
        <v>0</v>
      </c>
      <c r="J271">
        <v>0</v>
      </c>
      <c r="K271">
        <v>1</v>
      </c>
      <c r="L271">
        <v>1</v>
      </c>
      <c r="M271">
        <v>1</v>
      </c>
      <c r="N271">
        <v>0</v>
      </c>
      <c r="O271">
        <v>0</v>
      </c>
      <c r="P271">
        <v>1</v>
      </c>
      <c r="Q271">
        <v>0</v>
      </c>
      <c r="R271">
        <v>0</v>
      </c>
      <c r="S271">
        <v>0</v>
      </c>
      <c r="T271">
        <v>0</v>
      </c>
      <c r="U271">
        <v>0</v>
      </c>
      <c r="V271">
        <v>0</v>
      </c>
      <c r="W271">
        <v>1</v>
      </c>
      <c r="X271">
        <v>0</v>
      </c>
      <c r="Y271">
        <v>4</v>
      </c>
      <c r="Z271">
        <v>1</v>
      </c>
      <c r="AA271" t="b">
        <v>0</v>
      </c>
    </row>
    <row r="272" spans="1:27" x14ac:dyDescent="0.3">
      <c r="A272" t="s">
        <v>307</v>
      </c>
      <c r="B272" t="s">
        <v>428</v>
      </c>
      <c r="C272"/>
      <c r="D272" t="s">
        <v>307</v>
      </c>
      <c r="E272" t="s">
        <v>307</v>
      </c>
      <c r="F272"/>
      <c r="G272">
        <v>2.7749999999999999</v>
      </c>
      <c r="H272">
        <v>1</v>
      </c>
      <c r="I272">
        <v>0</v>
      </c>
      <c r="J272">
        <v>0</v>
      </c>
      <c r="K272">
        <v>0</v>
      </c>
      <c r="L272">
        <v>1</v>
      </c>
      <c r="M272">
        <v>1</v>
      </c>
      <c r="N272">
        <v>0</v>
      </c>
      <c r="O272">
        <v>0</v>
      </c>
      <c r="P272">
        <v>1</v>
      </c>
      <c r="Q272">
        <v>0</v>
      </c>
      <c r="R272">
        <v>0</v>
      </c>
      <c r="S272">
        <v>0</v>
      </c>
      <c r="T272">
        <v>0</v>
      </c>
      <c r="U272">
        <v>0</v>
      </c>
      <c r="V272">
        <v>0</v>
      </c>
      <c r="W272">
        <v>0</v>
      </c>
      <c r="X272">
        <v>1</v>
      </c>
      <c r="Y272">
        <v>4</v>
      </c>
      <c r="Z272">
        <v>1</v>
      </c>
      <c r="AA272" t="b">
        <v>0</v>
      </c>
    </row>
    <row r="273" spans="1:27" x14ac:dyDescent="0.3">
      <c r="A273" t="s">
        <v>228</v>
      </c>
      <c r="B273" t="s">
        <v>345</v>
      </c>
      <c r="C273"/>
      <c r="D273" t="s">
        <v>345</v>
      </c>
      <c r="E273"/>
      <c r="F273"/>
      <c r="G273">
        <v>2.8250000000000002</v>
      </c>
      <c r="H273">
        <v>1</v>
      </c>
      <c r="I273">
        <v>1</v>
      </c>
      <c r="J273">
        <v>0</v>
      </c>
      <c r="K273">
        <v>1</v>
      </c>
      <c r="L273">
        <v>0</v>
      </c>
      <c r="M273">
        <v>0</v>
      </c>
      <c r="N273">
        <v>0</v>
      </c>
      <c r="O273">
        <v>1</v>
      </c>
      <c r="P273">
        <v>1</v>
      </c>
      <c r="Q273">
        <v>0</v>
      </c>
      <c r="R273">
        <v>0</v>
      </c>
      <c r="S273">
        <v>0</v>
      </c>
      <c r="T273">
        <v>0</v>
      </c>
      <c r="U273">
        <v>0</v>
      </c>
      <c r="V273">
        <v>0</v>
      </c>
      <c r="W273">
        <v>0</v>
      </c>
      <c r="X273">
        <v>1</v>
      </c>
      <c r="Y273">
        <v>5</v>
      </c>
      <c r="Z273">
        <v>1</v>
      </c>
      <c r="AA273" t="b">
        <v>0</v>
      </c>
    </row>
    <row r="274" spans="1:27" x14ac:dyDescent="0.3">
      <c r="A274" t="s">
        <v>229</v>
      </c>
      <c r="B274" t="s">
        <v>429</v>
      </c>
      <c r="C274"/>
      <c r="D274" t="s">
        <v>229</v>
      </c>
      <c r="E274"/>
      <c r="F274"/>
      <c r="G274">
        <v>3.4333333330000002</v>
      </c>
      <c r="H274">
        <v>1</v>
      </c>
      <c r="I274">
        <v>1</v>
      </c>
      <c r="J274">
        <v>1</v>
      </c>
      <c r="K274">
        <v>0</v>
      </c>
      <c r="L274">
        <v>1</v>
      </c>
      <c r="M274">
        <v>1</v>
      </c>
      <c r="N274">
        <v>1</v>
      </c>
      <c r="O274">
        <v>0</v>
      </c>
      <c r="P274">
        <v>0</v>
      </c>
      <c r="Q274">
        <v>0</v>
      </c>
      <c r="R274">
        <v>1</v>
      </c>
      <c r="S274">
        <v>0</v>
      </c>
      <c r="T274">
        <v>0</v>
      </c>
      <c r="U274">
        <v>0</v>
      </c>
      <c r="V274">
        <v>0</v>
      </c>
      <c r="W274">
        <v>0</v>
      </c>
      <c r="X274">
        <v>1</v>
      </c>
      <c r="Y274">
        <v>7</v>
      </c>
      <c r="Z274">
        <v>1</v>
      </c>
      <c r="AA274" t="b">
        <v>0</v>
      </c>
    </row>
    <row r="275" spans="1:27" x14ac:dyDescent="0.3">
      <c r="A275" t="s">
        <v>230</v>
      </c>
      <c r="B275" t="s">
        <v>230</v>
      </c>
      <c r="C275"/>
      <c r="D275"/>
      <c r="E275"/>
      <c r="F275"/>
      <c r="G275">
        <v>2.8</v>
      </c>
      <c r="H275">
        <v>1</v>
      </c>
      <c r="I275">
        <v>0</v>
      </c>
      <c r="J275">
        <v>0</v>
      </c>
      <c r="K275">
        <v>1</v>
      </c>
      <c r="L275">
        <v>1</v>
      </c>
      <c r="M275">
        <v>0</v>
      </c>
      <c r="N275">
        <v>1</v>
      </c>
      <c r="O275">
        <v>0</v>
      </c>
      <c r="P275">
        <v>0</v>
      </c>
      <c r="Q275">
        <v>0</v>
      </c>
      <c r="R275">
        <v>0</v>
      </c>
      <c r="S275">
        <v>0</v>
      </c>
      <c r="T275">
        <v>0</v>
      </c>
      <c r="U275">
        <v>0</v>
      </c>
      <c r="V275">
        <v>0</v>
      </c>
      <c r="W275">
        <v>0</v>
      </c>
      <c r="X275">
        <v>1</v>
      </c>
      <c r="Y275">
        <v>4</v>
      </c>
      <c r="Z275">
        <v>1</v>
      </c>
      <c r="AA275" t="b">
        <v>0</v>
      </c>
    </row>
    <row r="276" spans="1:27" x14ac:dyDescent="0.3">
      <c r="A276" t="s">
        <v>317</v>
      </c>
      <c r="B276" t="s">
        <v>430</v>
      </c>
      <c r="C276"/>
      <c r="D276" t="s">
        <v>317</v>
      </c>
      <c r="E276" t="s">
        <v>317</v>
      </c>
      <c r="F276"/>
      <c r="G276">
        <v>3.1</v>
      </c>
      <c r="H276">
        <v>1</v>
      </c>
      <c r="I276">
        <v>0</v>
      </c>
      <c r="J276">
        <v>0</v>
      </c>
      <c r="K276">
        <v>1</v>
      </c>
      <c r="L276">
        <v>0</v>
      </c>
      <c r="M276">
        <v>0</v>
      </c>
      <c r="N276">
        <v>1</v>
      </c>
      <c r="O276">
        <v>0</v>
      </c>
      <c r="P276">
        <v>0</v>
      </c>
      <c r="Q276">
        <v>0</v>
      </c>
      <c r="R276">
        <v>0</v>
      </c>
      <c r="S276">
        <v>0</v>
      </c>
      <c r="T276">
        <v>0</v>
      </c>
      <c r="U276">
        <v>0</v>
      </c>
      <c r="V276">
        <v>0</v>
      </c>
      <c r="W276">
        <v>1</v>
      </c>
      <c r="X276">
        <v>1</v>
      </c>
      <c r="Y276">
        <v>3</v>
      </c>
      <c r="Z276">
        <v>2</v>
      </c>
      <c r="AA276" t="b">
        <v>0</v>
      </c>
    </row>
    <row r="277" spans="1:27" x14ac:dyDescent="0.3">
      <c r="A277" t="s">
        <v>231</v>
      </c>
      <c r="B277" t="s">
        <v>431</v>
      </c>
      <c r="C277"/>
      <c r="D277"/>
      <c r="E277"/>
      <c r="F277"/>
      <c r="G277">
        <v>3.9297916669999999</v>
      </c>
      <c r="H277">
        <v>1</v>
      </c>
      <c r="I277">
        <v>1</v>
      </c>
      <c r="J277">
        <v>0</v>
      </c>
      <c r="K277">
        <v>1</v>
      </c>
      <c r="L277">
        <v>0</v>
      </c>
      <c r="M277">
        <v>1</v>
      </c>
      <c r="N277">
        <v>0</v>
      </c>
      <c r="O277">
        <v>0</v>
      </c>
      <c r="P277">
        <v>0</v>
      </c>
      <c r="Q277">
        <v>0</v>
      </c>
      <c r="R277">
        <v>0</v>
      </c>
      <c r="S277">
        <v>0</v>
      </c>
      <c r="T277">
        <v>0</v>
      </c>
      <c r="U277">
        <v>0</v>
      </c>
      <c r="V277">
        <v>0</v>
      </c>
      <c r="W277">
        <v>1</v>
      </c>
      <c r="X277">
        <v>1</v>
      </c>
      <c r="Y277">
        <v>4</v>
      </c>
      <c r="Z277">
        <v>2</v>
      </c>
      <c r="AA277" t="b">
        <v>0</v>
      </c>
    </row>
    <row r="278" spans="1:27" x14ac:dyDescent="0.3">
      <c r="A278" t="s">
        <v>232</v>
      </c>
      <c r="B278" t="s">
        <v>232</v>
      </c>
      <c r="C278"/>
      <c r="D278"/>
      <c r="E278"/>
      <c r="F278"/>
      <c r="G278">
        <v>3.66</v>
      </c>
      <c r="H278">
        <v>1</v>
      </c>
      <c r="I278">
        <v>0</v>
      </c>
      <c r="J278">
        <v>0</v>
      </c>
      <c r="K278">
        <v>1</v>
      </c>
      <c r="L278">
        <v>0</v>
      </c>
      <c r="M278">
        <v>1</v>
      </c>
      <c r="N278">
        <v>1</v>
      </c>
      <c r="O278">
        <v>0</v>
      </c>
      <c r="P278">
        <v>0</v>
      </c>
      <c r="Q278">
        <v>0</v>
      </c>
      <c r="R278">
        <v>0</v>
      </c>
      <c r="S278">
        <v>0</v>
      </c>
      <c r="T278">
        <v>0</v>
      </c>
      <c r="U278">
        <v>0</v>
      </c>
      <c r="V278">
        <v>0</v>
      </c>
      <c r="W278">
        <v>1</v>
      </c>
      <c r="X278">
        <v>1</v>
      </c>
      <c r="Y278">
        <v>4</v>
      </c>
      <c r="Z278">
        <v>2</v>
      </c>
      <c r="AA278" t="b">
        <v>0</v>
      </c>
    </row>
    <row r="279" spans="1:27" x14ac:dyDescent="0.3">
      <c r="A279" t="s">
        <v>233</v>
      </c>
      <c r="B279" t="s">
        <v>432</v>
      </c>
      <c r="C279"/>
      <c r="D279" t="s">
        <v>233</v>
      </c>
      <c r="E279"/>
      <c r="F279"/>
      <c r="G279">
        <v>3.5344791670000002</v>
      </c>
      <c r="H279">
        <v>1</v>
      </c>
      <c r="I279">
        <v>1</v>
      </c>
      <c r="J279">
        <v>1</v>
      </c>
      <c r="K279">
        <v>1</v>
      </c>
      <c r="L279">
        <v>0</v>
      </c>
      <c r="M279">
        <v>0</v>
      </c>
      <c r="N279">
        <v>1</v>
      </c>
      <c r="O279">
        <v>0</v>
      </c>
      <c r="P279">
        <v>0</v>
      </c>
      <c r="Q279">
        <v>0</v>
      </c>
      <c r="R279">
        <v>1</v>
      </c>
      <c r="S279">
        <v>0</v>
      </c>
      <c r="T279">
        <v>0</v>
      </c>
      <c r="U279">
        <v>0</v>
      </c>
      <c r="V279">
        <v>0</v>
      </c>
      <c r="W279">
        <v>0</v>
      </c>
      <c r="X279">
        <v>1</v>
      </c>
      <c r="Y279">
        <v>6</v>
      </c>
      <c r="Z279">
        <v>1</v>
      </c>
      <c r="AA279" t="b">
        <v>0</v>
      </c>
    </row>
    <row r="280" spans="1:27" x14ac:dyDescent="0.3">
      <c r="A280" t="s">
        <v>234</v>
      </c>
      <c r="B280" t="s">
        <v>234</v>
      </c>
      <c r="C280"/>
      <c r="D280"/>
      <c r="E280"/>
      <c r="F280"/>
      <c r="G280">
        <v>2.9714285720000002</v>
      </c>
      <c r="H280">
        <v>1</v>
      </c>
      <c r="I280">
        <v>0</v>
      </c>
      <c r="J280">
        <v>0</v>
      </c>
      <c r="K280">
        <v>1</v>
      </c>
      <c r="L280">
        <v>1</v>
      </c>
      <c r="M280">
        <v>1</v>
      </c>
      <c r="N280">
        <v>1</v>
      </c>
      <c r="O280">
        <v>0</v>
      </c>
      <c r="P280">
        <v>0</v>
      </c>
      <c r="Q280">
        <v>0</v>
      </c>
      <c r="R280">
        <v>0</v>
      </c>
      <c r="S280">
        <v>0</v>
      </c>
      <c r="T280">
        <v>0</v>
      </c>
      <c r="U280">
        <v>0</v>
      </c>
      <c r="V280">
        <v>0</v>
      </c>
      <c r="W280">
        <v>1</v>
      </c>
      <c r="X280">
        <v>1</v>
      </c>
      <c r="Y280">
        <v>5</v>
      </c>
      <c r="Z280">
        <v>2</v>
      </c>
      <c r="AA280" t="b">
        <v>0</v>
      </c>
    </row>
    <row r="281" spans="1:27" x14ac:dyDescent="0.3">
      <c r="A281" t="s">
        <v>235</v>
      </c>
      <c r="B281" t="s">
        <v>235</v>
      </c>
      <c r="C281"/>
      <c r="D281"/>
      <c r="E281"/>
      <c r="F281"/>
      <c r="G281">
        <v>3.14</v>
      </c>
      <c r="H281">
        <v>0</v>
      </c>
      <c r="I281">
        <v>0</v>
      </c>
      <c r="J281">
        <v>0</v>
      </c>
      <c r="K281">
        <v>1</v>
      </c>
      <c r="L281">
        <v>0</v>
      </c>
      <c r="M281">
        <v>1</v>
      </c>
      <c r="N281">
        <v>0</v>
      </c>
      <c r="O281">
        <v>0</v>
      </c>
      <c r="P281">
        <v>0</v>
      </c>
      <c r="Q281">
        <v>0</v>
      </c>
      <c r="R281">
        <v>0</v>
      </c>
      <c r="S281">
        <v>0</v>
      </c>
      <c r="T281">
        <v>0</v>
      </c>
      <c r="U281">
        <v>0</v>
      </c>
      <c r="V281">
        <v>0</v>
      </c>
      <c r="W281">
        <v>1</v>
      </c>
      <c r="X281">
        <v>1</v>
      </c>
      <c r="Y281">
        <v>2</v>
      </c>
      <c r="Z281">
        <v>2</v>
      </c>
      <c r="AA281" t="b">
        <v>0</v>
      </c>
    </row>
    <row r="282" spans="1:27" x14ac:dyDescent="0.3">
      <c r="A282" t="s">
        <v>236</v>
      </c>
      <c r="B282" s="4" t="s">
        <v>483</v>
      </c>
      <c r="C282"/>
      <c r="D282" s="4" t="s">
        <v>483</v>
      </c>
      <c r="E282"/>
      <c r="F282"/>
      <c r="G282" s="4">
        <f>(2.2+2.865)/2</f>
        <v>2.5325000000000002</v>
      </c>
      <c r="H282">
        <v>0</v>
      </c>
      <c r="I282">
        <v>0</v>
      </c>
      <c r="J282">
        <v>0</v>
      </c>
      <c r="K282">
        <v>1</v>
      </c>
      <c r="L282">
        <v>1</v>
      </c>
      <c r="M282">
        <v>1</v>
      </c>
      <c r="N282">
        <v>1</v>
      </c>
      <c r="O282">
        <v>0</v>
      </c>
      <c r="P282">
        <v>0</v>
      </c>
      <c r="Q282">
        <v>0</v>
      </c>
      <c r="R282">
        <v>0</v>
      </c>
      <c r="S282">
        <v>0</v>
      </c>
      <c r="T282">
        <v>0</v>
      </c>
      <c r="U282">
        <v>0</v>
      </c>
      <c r="V282">
        <v>0</v>
      </c>
      <c r="W282">
        <v>0</v>
      </c>
      <c r="X282">
        <v>1</v>
      </c>
      <c r="Y282">
        <v>4</v>
      </c>
      <c r="Z282">
        <v>1</v>
      </c>
      <c r="AA282" t="b">
        <v>0</v>
      </c>
    </row>
    <row r="283" spans="1:27" x14ac:dyDescent="0.3">
      <c r="A283" t="s">
        <v>237</v>
      </c>
      <c r="B283" t="s">
        <v>237</v>
      </c>
      <c r="C283"/>
      <c r="D283"/>
      <c r="E283"/>
      <c r="F283"/>
      <c r="G283">
        <v>2.2166666670000001</v>
      </c>
      <c r="H283">
        <v>0</v>
      </c>
      <c r="I283">
        <v>0</v>
      </c>
      <c r="J283">
        <v>0</v>
      </c>
      <c r="K283">
        <v>0</v>
      </c>
      <c r="L283">
        <v>0</v>
      </c>
      <c r="M283">
        <v>1</v>
      </c>
      <c r="N283">
        <v>1</v>
      </c>
      <c r="O283">
        <v>0</v>
      </c>
      <c r="P283">
        <v>0</v>
      </c>
      <c r="Q283">
        <v>0</v>
      </c>
      <c r="R283">
        <v>0</v>
      </c>
      <c r="S283">
        <v>0</v>
      </c>
      <c r="T283">
        <v>0</v>
      </c>
      <c r="U283">
        <v>0</v>
      </c>
      <c r="V283">
        <v>0</v>
      </c>
      <c r="W283">
        <v>0</v>
      </c>
      <c r="X283">
        <v>1</v>
      </c>
      <c r="Y283">
        <v>2</v>
      </c>
      <c r="Z283">
        <v>1</v>
      </c>
      <c r="AA283" t="b">
        <v>0</v>
      </c>
    </row>
    <row r="284" spans="1:27" x14ac:dyDescent="0.3">
      <c r="A284" t="s">
        <v>238</v>
      </c>
      <c r="B284" t="s">
        <v>238</v>
      </c>
      <c r="C284"/>
      <c r="D284"/>
      <c r="E284"/>
      <c r="F284"/>
      <c r="G284">
        <v>2.5687500000000001</v>
      </c>
      <c r="H284">
        <v>0</v>
      </c>
      <c r="I284">
        <v>0</v>
      </c>
      <c r="J284">
        <v>0</v>
      </c>
      <c r="K284">
        <v>1</v>
      </c>
      <c r="L284">
        <v>0</v>
      </c>
      <c r="M284">
        <v>1</v>
      </c>
      <c r="N284">
        <v>0</v>
      </c>
      <c r="O284">
        <v>0</v>
      </c>
      <c r="P284">
        <v>0</v>
      </c>
      <c r="Q284">
        <v>0</v>
      </c>
      <c r="R284">
        <v>0</v>
      </c>
      <c r="S284">
        <v>0</v>
      </c>
      <c r="T284">
        <v>0</v>
      </c>
      <c r="U284">
        <v>0</v>
      </c>
      <c r="V284">
        <v>0</v>
      </c>
      <c r="W284">
        <v>0</v>
      </c>
      <c r="X284">
        <v>0</v>
      </c>
      <c r="Y284">
        <v>2</v>
      </c>
      <c r="Z284">
        <v>0</v>
      </c>
      <c r="AA284" t="b">
        <v>0</v>
      </c>
    </row>
    <row r="285" spans="1:27" x14ac:dyDescent="0.3">
      <c r="A285" t="s">
        <v>239</v>
      </c>
      <c r="B285" t="s">
        <v>239</v>
      </c>
      <c r="C285"/>
      <c r="D285"/>
      <c r="E285"/>
      <c r="F285"/>
      <c r="G285">
        <v>2.8791666669999998</v>
      </c>
      <c r="H285">
        <v>1</v>
      </c>
      <c r="I285">
        <v>1</v>
      </c>
      <c r="J285">
        <v>0</v>
      </c>
      <c r="K285">
        <v>1</v>
      </c>
      <c r="L285">
        <v>1</v>
      </c>
      <c r="M285">
        <v>1</v>
      </c>
      <c r="N285">
        <v>1</v>
      </c>
      <c r="O285">
        <v>0</v>
      </c>
      <c r="P285">
        <v>0</v>
      </c>
      <c r="Q285">
        <v>0</v>
      </c>
      <c r="R285">
        <v>0</v>
      </c>
      <c r="S285">
        <v>0</v>
      </c>
      <c r="T285">
        <v>0</v>
      </c>
      <c r="U285">
        <v>0</v>
      </c>
      <c r="V285">
        <v>0</v>
      </c>
      <c r="W285">
        <v>0</v>
      </c>
      <c r="X285">
        <v>1</v>
      </c>
      <c r="Y285">
        <v>6</v>
      </c>
      <c r="Z285">
        <v>1</v>
      </c>
      <c r="AA285" t="b">
        <v>0</v>
      </c>
    </row>
    <row r="286" spans="1:27" x14ac:dyDescent="0.3">
      <c r="A286" t="s">
        <v>240</v>
      </c>
      <c r="B286" t="s">
        <v>240</v>
      </c>
      <c r="C286"/>
      <c r="D286"/>
      <c r="E286"/>
      <c r="F286"/>
      <c r="G286">
        <v>5.1749999999999998</v>
      </c>
      <c r="H286">
        <v>1</v>
      </c>
      <c r="I286">
        <v>0</v>
      </c>
      <c r="J286">
        <v>1</v>
      </c>
      <c r="K286">
        <v>1</v>
      </c>
      <c r="L286">
        <v>0</v>
      </c>
      <c r="M286">
        <v>1</v>
      </c>
      <c r="N286">
        <v>0</v>
      </c>
      <c r="O286">
        <v>0</v>
      </c>
      <c r="P286">
        <v>0</v>
      </c>
      <c r="Q286">
        <v>0</v>
      </c>
      <c r="R286">
        <v>0</v>
      </c>
      <c r="S286">
        <v>0</v>
      </c>
      <c r="T286">
        <v>0</v>
      </c>
      <c r="U286">
        <v>0</v>
      </c>
      <c r="V286">
        <v>0</v>
      </c>
      <c r="W286">
        <v>0</v>
      </c>
      <c r="X286">
        <v>1</v>
      </c>
      <c r="Y286">
        <v>4</v>
      </c>
      <c r="Z286">
        <v>1</v>
      </c>
      <c r="AA286" t="b">
        <v>1</v>
      </c>
    </row>
    <row r="287" spans="1:27" x14ac:dyDescent="0.3">
      <c r="A287" t="s">
        <v>241</v>
      </c>
      <c r="B287" t="s">
        <v>433</v>
      </c>
      <c r="C287"/>
      <c r="D287"/>
      <c r="E287"/>
      <c r="F287"/>
      <c r="G287">
        <v>4.87</v>
      </c>
      <c r="H287">
        <v>0</v>
      </c>
      <c r="I287">
        <v>0</v>
      </c>
      <c r="J287">
        <v>0</v>
      </c>
      <c r="K287">
        <v>1</v>
      </c>
      <c r="L287">
        <v>1</v>
      </c>
      <c r="M287">
        <v>0</v>
      </c>
      <c r="N287">
        <v>1</v>
      </c>
      <c r="O287">
        <v>1</v>
      </c>
      <c r="P287">
        <v>0</v>
      </c>
      <c r="Q287">
        <v>0</v>
      </c>
      <c r="R287">
        <v>0</v>
      </c>
      <c r="S287">
        <v>0</v>
      </c>
      <c r="T287">
        <v>0</v>
      </c>
      <c r="U287">
        <v>0</v>
      </c>
      <c r="V287">
        <v>0</v>
      </c>
      <c r="W287">
        <v>0</v>
      </c>
      <c r="X287">
        <v>1</v>
      </c>
      <c r="Y287">
        <v>4</v>
      </c>
      <c r="Z287">
        <v>1</v>
      </c>
      <c r="AA287" t="b">
        <v>0</v>
      </c>
    </row>
    <row r="288" spans="1:27" x14ac:dyDescent="0.3">
      <c r="A288" t="s">
        <v>242</v>
      </c>
      <c r="B288" t="s">
        <v>242</v>
      </c>
      <c r="C288"/>
      <c r="D288"/>
      <c r="E288"/>
      <c r="F288"/>
      <c r="G288">
        <v>4.5875000000000004</v>
      </c>
      <c r="H288">
        <v>0</v>
      </c>
      <c r="I288">
        <v>1</v>
      </c>
      <c r="J288">
        <v>1</v>
      </c>
      <c r="K288">
        <v>1</v>
      </c>
      <c r="L288">
        <v>1</v>
      </c>
      <c r="M288">
        <v>1</v>
      </c>
      <c r="N288">
        <v>1</v>
      </c>
      <c r="O288">
        <v>0</v>
      </c>
      <c r="P288">
        <v>0</v>
      </c>
      <c r="Q288">
        <v>0</v>
      </c>
      <c r="R288">
        <v>0</v>
      </c>
      <c r="S288">
        <v>0</v>
      </c>
      <c r="T288">
        <v>0</v>
      </c>
      <c r="U288">
        <v>0</v>
      </c>
      <c r="V288">
        <v>0</v>
      </c>
      <c r="W288">
        <v>0</v>
      </c>
      <c r="X288">
        <v>1</v>
      </c>
      <c r="Y288">
        <v>6</v>
      </c>
      <c r="Z288">
        <v>1</v>
      </c>
      <c r="AA288" t="b">
        <v>0</v>
      </c>
    </row>
    <row r="289" spans="1:27" x14ac:dyDescent="0.3">
      <c r="A289" t="s">
        <v>243</v>
      </c>
      <c r="B289" t="s">
        <v>243</v>
      </c>
      <c r="C289"/>
      <c r="D289"/>
      <c r="E289"/>
      <c r="F289"/>
      <c r="G289">
        <v>6.1775000000000002</v>
      </c>
      <c r="H289">
        <v>1</v>
      </c>
      <c r="I289">
        <v>0</v>
      </c>
      <c r="J289">
        <v>1</v>
      </c>
      <c r="K289">
        <v>1</v>
      </c>
      <c r="L289">
        <v>1</v>
      </c>
      <c r="M289">
        <v>1</v>
      </c>
      <c r="N289">
        <v>0</v>
      </c>
      <c r="O289">
        <v>0</v>
      </c>
      <c r="P289">
        <v>0</v>
      </c>
      <c r="Q289">
        <v>0</v>
      </c>
      <c r="R289">
        <v>0</v>
      </c>
      <c r="S289">
        <v>0</v>
      </c>
      <c r="T289">
        <v>0</v>
      </c>
      <c r="U289">
        <v>0</v>
      </c>
      <c r="V289">
        <v>1</v>
      </c>
      <c r="W289">
        <v>0</v>
      </c>
      <c r="X289">
        <v>1</v>
      </c>
      <c r="Y289">
        <v>5</v>
      </c>
      <c r="Z289">
        <v>2</v>
      </c>
      <c r="AA289" t="b">
        <v>1</v>
      </c>
    </row>
    <row r="290" spans="1:27" x14ac:dyDescent="0.3">
      <c r="A290" t="s">
        <v>244</v>
      </c>
      <c r="B290" t="s">
        <v>244</v>
      </c>
      <c r="C290"/>
      <c r="D290"/>
      <c r="E290"/>
      <c r="F290"/>
      <c r="G290">
        <v>5.1624999999999996</v>
      </c>
      <c r="H290">
        <v>1</v>
      </c>
      <c r="I290">
        <v>1</v>
      </c>
      <c r="J290">
        <v>0</v>
      </c>
      <c r="K290">
        <v>1</v>
      </c>
      <c r="L290">
        <v>1</v>
      </c>
      <c r="M290">
        <v>0</v>
      </c>
      <c r="N290">
        <v>1</v>
      </c>
      <c r="O290">
        <v>0</v>
      </c>
      <c r="P290">
        <v>0</v>
      </c>
      <c r="Q290">
        <v>0</v>
      </c>
      <c r="R290">
        <v>0</v>
      </c>
      <c r="S290">
        <v>0</v>
      </c>
      <c r="T290">
        <v>0</v>
      </c>
      <c r="U290">
        <v>0</v>
      </c>
      <c r="V290">
        <v>0</v>
      </c>
      <c r="W290">
        <v>0</v>
      </c>
      <c r="X290">
        <v>1</v>
      </c>
      <c r="Y290">
        <v>5</v>
      </c>
      <c r="Z290">
        <v>1</v>
      </c>
      <c r="AA290" t="b">
        <v>0</v>
      </c>
    </row>
    <row r="291" spans="1:27" x14ac:dyDescent="0.3">
      <c r="A291" t="s">
        <v>245</v>
      </c>
      <c r="B291" t="s">
        <v>245</v>
      </c>
      <c r="C291"/>
      <c r="D291"/>
      <c r="E291"/>
      <c r="F291"/>
      <c r="G291">
        <v>5.2074999999999996</v>
      </c>
      <c r="H291">
        <v>0</v>
      </c>
      <c r="I291">
        <v>1</v>
      </c>
      <c r="J291">
        <v>0</v>
      </c>
      <c r="K291">
        <v>1</v>
      </c>
      <c r="L291">
        <v>0</v>
      </c>
      <c r="M291">
        <v>1</v>
      </c>
      <c r="N291">
        <v>1</v>
      </c>
      <c r="O291">
        <v>0</v>
      </c>
      <c r="P291">
        <v>0</v>
      </c>
      <c r="Q291">
        <v>0</v>
      </c>
      <c r="R291">
        <v>0</v>
      </c>
      <c r="S291">
        <v>0</v>
      </c>
      <c r="T291">
        <v>0</v>
      </c>
      <c r="U291">
        <v>0</v>
      </c>
      <c r="V291">
        <v>0</v>
      </c>
      <c r="W291">
        <v>0</v>
      </c>
      <c r="X291">
        <v>1</v>
      </c>
      <c r="Y291">
        <v>4</v>
      </c>
      <c r="Z291">
        <v>1</v>
      </c>
      <c r="AA291" t="b">
        <v>1</v>
      </c>
    </row>
    <row r="292" spans="1:27" x14ac:dyDescent="0.3">
      <c r="A292" t="s">
        <v>246</v>
      </c>
      <c r="B292" t="s">
        <v>246</v>
      </c>
      <c r="C292"/>
      <c r="D292"/>
      <c r="E292"/>
      <c r="F292"/>
      <c r="G292">
        <v>5.0374999999999996</v>
      </c>
      <c r="H292">
        <v>1</v>
      </c>
      <c r="I292">
        <v>0</v>
      </c>
      <c r="J292">
        <v>0</v>
      </c>
      <c r="K292">
        <v>1</v>
      </c>
      <c r="L292">
        <v>0</v>
      </c>
      <c r="M292">
        <v>1</v>
      </c>
      <c r="N292">
        <v>1</v>
      </c>
      <c r="O292">
        <v>0</v>
      </c>
      <c r="P292">
        <v>0</v>
      </c>
      <c r="Q292">
        <v>0</v>
      </c>
      <c r="R292">
        <v>0</v>
      </c>
      <c r="S292">
        <v>0</v>
      </c>
      <c r="T292">
        <v>0</v>
      </c>
      <c r="U292">
        <v>0</v>
      </c>
      <c r="V292">
        <v>0</v>
      </c>
      <c r="W292">
        <v>1</v>
      </c>
      <c r="X292">
        <v>1</v>
      </c>
      <c r="Y292">
        <v>4</v>
      </c>
      <c r="Z292">
        <v>2</v>
      </c>
      <c r="AA292" t="b">
        <v>0</v>
      </c>
    </row>
    <row r="293" spans="1:27" x14ac:dyDescent="0.3">
      <c r="A293" t="s">
        <v>247</v>
      </c>
      <c r="B293" t="s">
        <v>247</v>
      </c>
      <c r="C293"/>
      <c r="D293"/>
      <c r="E293"/>
      <c r="F293"/>
      <c r="G293">
        <v>3.35</v>
      </c>
      <c r="H293">
        <v>0</v>
      </c>
      <c r="I293">
        <v>0</v>
      </c>
      <c r="J293">
        <v>0</v>
      </c>
      <c r="K293">
        <v>0</v>
      </c>
      <c r="L293">
        <v>0</v>
      </c>
      <c r="M293">
        <v>0</v>
      </c>
      <c r="N293">
        <v>0</v>
      </c>
      <c r="O293">
        <v>0</v>
      </c>
      <c r="P293">
        <v>0</v>
      </c>
      <c r="Q293">
        <v>0</v>
      </c>
      <c r="R293">
        <v>0</v>
      </c>
      <c r="S293">
        <v>0</v>
      </c>
      <c r="T293">
        <v>0</v>
      </c>
      <c r="U293">
        <v>0</v>
      </c>
      <c r="V293">
        <v>0</v>
      </c>
      <c r="W293">
        <v>0</v>
      </c>
      <c r="X293">
        <v>0</v>
      </c>
      <c r="Y293">
        <v>0</v>
      </c>
      <c r="Z293">
        <v>0</v>
      </c>
      <c r="AA293" t="b">
        <v>1</v>
      </c>
    </row>
    <row r="294" spans="1:27" s="5" customFormat="1" x14ac:dyDescent="0.3">
      <c r="A294" s="4" t="s">
        <v>248</v>
      </c>
      <c r="B294" s="4" t="s">
        <v>434</v>
      </c>
      <c r="D294" s="4" t="s">
        <v>248</v>
      </c>
      <c r="E294" s="4"/>
      <c r="F294" s="4"/>
      <c r="G294" s="4">
        <v>3.04</v>
      </c>
      <c r="H294" s="4">
        <v>1</v>
      </c>
      <c r="I294" s="4">
        <v>0</v>
      </c>
      <c r="J294" s="4">
        <v>1</v>
      </c>
      <c r="K294" s="4">
        <v>1</v>
      </c>
      <c r="L294" s="4">
        <v>0</v>
      </c>
      <c r="M294" s="4">
        <v>0</v>
      </c>
      <c r="N294" s="4">
        <v>0</v>
      </c>
      <c r="O294" s="4">
        <v>0</v>
      </c>
      <c r="P294" s="4">
        <v>0</v>
      </c>
      <c r="Q294" s="4">
        <v>0</v>
      </c>
      <c r="R294" s="4">
        <v>1</v>
      </c>
      <c r="S294" s="4">
        <v>0</v>
      </c>
      <c r="T294" s="4">
        <v>0</v>
      </c>
      <c r="U294" s="4">
        <v>0</v>
      </c>
      <c r="V294" s="4">
        <v>0</v>
      </c>
      <c r="W294" s="4">
        <v>0</v>
      </c>
      <c r="X294" s="4">
        <v>1</v>
      </c>
      <c r="Y294" s="4">
        <v>4</v>
      </c>
      <c r="Z294" s="4">
        <v>1</v>
      </c>
      <c r="AA294" s="4" t="b">
        <v>0</v>
      </c>
    </row>
    <row r="295" spans="1:27" x14ac:dyDescent="0.3">
      <c r="A295" t="s">
        <v>249</v>
      </c>
      <c r="B295" t="s">
        <v>249</v>
      </c>
      <c r="C295"/>
      <c r="D295"/>
      <c r="E295"/>
      <c r="F295"/>
      <c r="G295">
        <v>4.0625</v>
      </c>
      <c r="H295">
        <v>1</v>
      </c>
      <c r="I295">
        <v>0</v>
      </c>
      <c r="J295">
        <v>1</v>
      </c>
      <c r="K295">
        <v>0</v>
      </c>
      <c r="L295">
        <v>0</v>
      </c>
      <c r="M295">
        <v>0</v>
      </c>
      <c r="N295">
        <v>0</v>
      </c>
      <c r="O295">
        <v>1</v>
      </c>
      <c r="P295">
        <v>0</v>
      </c>
      <c r="Q295">
        <v>0</v>
      </c>
      <c r="R295">
        <v>0</v>
      </c>
      <c r="S295">
        <v>0</v>
      </c>
      <c r="T295">
        <v>0</v>
      </c>
      <c r="U295">
        <v>0</v>
      </c>
      <c r="V295">
        <v>0</v>
      </c>
      <c r="W295">
        <v>1</v>
      </c>
      <c r="X295">
        <v>1</v>
      </c>
      <c r="Y295">
        <v>3</v>
      </c>
      <c r="Z295">
        <v>2</v>
      </c>
      <c r="AA295" t="b">
        <v>0</v>
      </c>
    </row>
    <row r="296" spans="1:27" x14ac:dyDescent="0.3">
      <c r="A296" t="s">
        <v>250</v>
      </c>
      <c r="B296" t="s">
        <v>250</v>
      </c>
      <c r="C296"/>
      <c r="D296"/>
      <c r="E296"/>
      <c r="F296"/>
      <c r="G296">
        <v>4.1399999999999997</v>
      </c>
      <c r="H296">
        <v>0</v>
      </c>
      <c r="I296">
        <v>1</v>
      </c>
      <c r="J296">
        <v>0</v>
      </c>
      <c r="K296">
        <v>0</v>
      </c>
      <c r="L296">
        <v>0</v>
      </c>
      <c r="M296">
        <v>0</v>
      </c>
      <c r="N296">
        <v>0</v>
      </c>
      <c r="O296">
        <v>1</v>
      </c>
      <c r="P296">
        <v>0</v>
      </c>
      <c r="Q296">
        <v>0</v>
      </c>
      <c r="R296">
        <v>0</v>
      </c>
      <c r="S296">
        <v>0</v>
      </c>
      <c r="T296">
        <v>1</v>
      </c>
      <c r="U296">
        <v>0</v>
      </c>
      <c r="V296">
        <v>0</v>
      </c>
      <c r="W296">
        <v>0</v>
      </c>
      <c r="X296">
        <v>0</v>
      </c>
      <c r="Y296">
        <v>2</v>
      </c>
      <c r="Z296">
        <v>1</v>
      </c>
      <c r="AA296" t="b">
        <v>1</v>
      </c>
    </row>
    <row r="297" spans="1:27" x14ac:dyDescent="0.3">
      <c r="A297" t="s">
        <v>251</v>
      </c>
      <c r="B297" t="s">
        <v>251</v>
      </c>
      <c r="C297"/>
      <c r="D297"/>
      <c r="E297"/>
      <c r="F297"/>
      <c r="G297">
        <v>4.5142857139999997</v>
      </c>
      <c r="H297">
        <v>1</v>
      </c>
      <c r="I297">
        <v>1</v>
      </c>
      <c r="J297">
        <v>1</v>
      </c>
      <c r="K297">
        <v>1</v>
      </c>
      <c r="L297">
        <v>1</v>
      </c>
      <c r="M297">
        <v>0</v>
      </c>
      <c r="N297">
        <v>1</v>
      </c>
      <c r="O297">
        <v>1</v>
      </c>
      <c r="P297">
        <v>0</v>
      </c>
      <c r="Q297">
        <v>0</v>
      </c>
      <c r="R297">
        <v>0</v>
      </c>
      <c r="S297">
        <v>0</v>
      </c>
      <c r="T297">
        <v>0</v>
      </c>
      <c r="U297">
        <v>1</v>
      </c>
      <c r="V297">
        <v>0</v>
      </c>
      <c r="W297">
        <v>0</v>
      </c>
      <c r="X297">
        <v>0</v>
      </c>
      <c r="Y297">
        <v>7</v>
      </c>
      <c r="Z297">
        <v>1</v>
      </c>
      <c r="AA297" t="b">
        <v>1</v>
      </c>
    </row>
    <row r="298" spans="1:27" x14ac:dyDescent="0.3">
      <c r="A298" t="s">
        <v>252</v>
      </c>
      <c r="B298" t="s">
        <v>252</v>
      </c>
      <c r="C298"/>
      <c r="D298"/>
      <c r="E298"/>
      <c r="F298"/>
      <c r="G298">
        <v>3.4624999999999999</v>
      </c>
      <c r="H298">
        <v>0</v>
      </c>
      <c r="I298">
        <v>0</v>
      </c>
      <c r="J298">
        <v>1</v>
      </c>
      <c r="K298">
        <v>0</v>
      </c>
      <c r="L298">
        <v>0</v>
      </c>
      <c r="M298">
        <v>0</v>
      </c>
      <c r="N298">
        <v>1</v>
      </c>
      <c r="O298">
        <v>0</v>
      </c>
      <c r="P298">
        <v>0</v>
      </c>
      <c r="Q298">
        <v>0</v>
      </c>
      <c r="R298">
        <v>0</v>
      </c>
      <c r="S298">
        <v>0</v>
      </c>
      <c r="T298">
        <v>0</v>
      </c>
      <c r="U298">
        <v>0</v>
      </c>
      <c r="V298">
        <v>0</v>
      </c>
      <c r="W298">
        <v>0</v>
      </c>
      <c r="X298">
        <v>0</v>
      </c>
      <c r="Y298">
        <v>2</v>
      </c>
      <c r="Z298">
        <v>0</v>
      </c>
      <c r="AA298" t="b">
        <v>0</v>
      </c>
    </row>
    <row r="299" spans="1:27" x14ac:dyDescent="0.3">
      <c r="A299" t="s">
        <v>253</v>
      </c>
      <c r="B299" t="s">
        <v>253</v>
      </c>
      <c r="C299"/>
      <c r="D299"/>
      <c r="E299"/>
      <c r="F299"/>
      <c r="G299">
        <v>4.0999999999999996</v>
      </c>
      <c r="H299">
        <v>1</v>
      </c>
      <c r="I299">
        <v>0</v>
      </c>
      <c r="J299">
        <v>0</v>
      </c>
      <c r="K299">
        <v>0</v>
      </c>
      <c r="L299">
        <v>0</v>
      </c>
      <c r="M299">
        <v>1</v>
      </c>
      <c r="N299">
        <v>1</v>
      </c>
      <c r="O299">
        <v>0</v>
      </c>
      <c r="P299">
        <v>0</v>
      </c>
      <c r="Q299">
        <v>0</v>
      </c>
      <c r="R299">
        <v>0</v>
      </c>
      <c r="S299">
        <v>0</v>
      </c>
      <c r="T299">
        <v>0</v>
      </c>
      <c r="U299">
        <v>0</v>
      </c>
      <c r="V299">
        <v>0</v>
      </c>
      <c r="W299">
        <v>1</v>
      </c>
      <c r="X299">
        <v>1</v>
      </c>
      <c r="Y299">
        <v>3</v>
      </c>
      <c r="Z299">
        <v>2</v>
      </c>
      <c r="AA299" t="b">
        <v>0</v>
      </c>
    </row>
    <row r="300" spans="1:27" x14ac:dyDescent="0.3">
      <c r="A300" t="s">
        <v>254</v>
      </c>
      <c r="B300" t="s">
        <v>435</v>
      </c>
      <c r="C300"/>
      <c r="D300"/>
      <c r="E300"/>
      <c r="F300"/>
      <c r="G300">
        <v>2.5474999999999999</v>
      </c>
      <c r="H300">
        <v>1</v>
      </c>
      <c r="I300">
        <v>1</v>
      </c>
      <c r="J300">
        <v>1</v>
      </c>
      <c r="K300">
        <v>1</v>
      </c>
      <c r="L300">
        <v>1</v>
      </c>
      <c r="M300">
        <v>0</v>
      </c>
      <c r="N300">
        <v>0</v>
      </c>
      <c r="O300">
        <v>0</v>
      </c>
      <c r="P300">
        <v>0</v>
      </c>
      <c r="Q300">
        <v>0</v>
      </c>
      <c r="R300">
        <v>0</v>
      </c>
      <c r="S300">
        <v>0</v>
      </c>
      <c r="T300">
        <v>0</v>
      </c>
      <c r="U300">
        <v>1</v>
      </c>
      <c r="V300">
        <v>0</v>
      </c>
      <c r="W300">
        <v>0</v>
      </c>
      <c r="X300">
        <v>1</v>
      </c>
      <c r="Y300">
        <v>5</v>
      </c>
      <c r="Z300">
        <v>2</v>
      </c>
      <c r="AA300" t="b">
        <v>0</v>
      </c>
    </row>
    <row r="301" spans="1:27" x14ac:dyDescent="0.3">
      <c r="A301" t="s">
        <v>255</v>
      </c>
      <c r="B301" t="s">
        <v>436</v>
      </c>
      <c r="C301"/>
      <c r="D301" t="s">
        <v>255</v>
      </c>
      <c r="E301"/>
      <c r="F301"/>
      <c r="G301">
        <v>2.7718181820000001</v>
      </c>
      <c r="H301">
        <v>1</v>
      </c>
      <c r="I301">
        <v>1</v>
      </c>
      <c r="J301">
        <v>1</v>
      </c>
      <c r="K301">
        <v>0</v>
      </c>
      <c r="L301">
        <v>1</v>
      </c>
      <c r="M301">
        <v>0</v>
      </c>
      <c r="N301">
        <v>0</v>
      </c>
      <c r="O301">
        <v>0</v>
      </c>
      <c r="P301">
        <v>1</v>
      </c>
      <c r="Q301">
        <v>0</v>
      </c>
      <c r="R301">
        <v>0</v>
      </c>
      <c r="S301">
        <v>0</v>
      </c>
      <c r="T301">
        <v>0</v>
      </c>
      <c r="U301">
        <v>1</v>
      </c>
      <c r="V301">
        <v>0</v>
      </c>
      <c r="W301">
        <v>1</v>
      </c>
      <c r="X301">
        <v>1</v>
      </c>
      <c r="Y301">
        <v>5</v>
      </c>
      <c r="Z301">
        <v>3</v>
      </c>
      <c r="AA301" t="b">
        <v>1</v>
      </c>
    </row>
    <row r="302" spans="1:27" x14ac:dyDescent="0.3">
      <c r="A302" t="s">
        <v>256</v>
      </c>
      <c r="B302" s="3" t="s">
        <v>256</v>
      </c>
      <c r="C302" t="s">
        <v>437</v>
      </c>
      <c r="D302" t="s">
        <v>255</v>
      </c>
      <c r="E302"/>
      <c r="F302"/>
      <c r="G302">
        <v>2.7332812500000001</v>
      </c>
      <c r="H302">
        <v>0</v>
      </c>
      <c r="I302">
        <v>1</v>
      </c>
      <c r="J302">
        <v>0</v>
      </c>
      <c r="K302">
        <v>1</v>
      </c>
      <c r="L302">
        <v>0</v>
      </c>
      <c r="M302">
        <v>0</v>
      </c>
      <c r="N302">
        <v>0</v>
      </c>
      <c r="O302">
        <v>0</v>
      </c>
      <c r="P302">
        <v>1</v>
      </c>
      <c r="Q302">
        <v>0</v>
      </c>
      <c r="R302">
        <v>0</v>
      </c>
      <c r="S302">
        <v>0</v>
      </c>
      <c r="T302">
        <v>0</v>
      </c>
      <c r="U302">
        <v>0</v>
      </c>
      <c r="V302">
        <v>0</v>
      </c>
      <c r="W302">
        <v>1</v>
      </c>
      <c r="X302">
        <v>1</v>
      </c>
      <c r="Y302">
        <v>3</v>
      </c>
      <c r="Z302">
        <v>2</v>
      </c>
      <c r="AA302" t="b">
        <v>0</v>
      </c>
    </row>
    <row r="303" spans="1:27" x14ac:dyDescent="0.3">
      <c r="A303" t="s">
        <v>257</v>
      </c>
      <c r="B303" t="s">
        <v>257</v>
      </c>
      <c r="C303"/>
      <c r="D303"/>
      <c r="E303"/>
      <c r="F303"/>
      <c r="G303">
        <v>2.3583333340000001</v>
      </c>
      <c r="H303">
        <v>1</v>
      </c>
      <c r="I303">
        <v>1</v>
      </c>
      <c r="J303">
        <v>1</v>
      </c>
      <c r="K303">
        <v>1</v>
      </c>
      <c r="L303">
        <v>0</v>
      </c>
      <c r="M303">
        <v>0</v>
      </c>
      <c r="N303">
        <v>0</v>
      </c>
      <c r="O303">
        <v>0</v>
      </c>
      <c r="P303">
        <v>0</v>
      </c>
      <c r="Q303">
        <v>0</v>
      </c>
      <c r="R303">
        <v>0</v>
      </c>
      <c r="S303">
        <v>0</v>
      </c>
      <c r="T303">
        <v>0</v>
      </c>
      <c r="U303">
        <v>0</v>
      </c>
      <c r="V303">
        <v>0</v>
      </c>
      <c r="W303">
        <v>0</v>
      </c>
      <c r="X303">
        <v>1</v>
      </c>
      <c r="Y303">
        <v>4</v>
      </c>
      <c r="Z303">
        <v>1</v>
      </c>
      <c r="AA303" t="b">
        <v>0</v>
      </c>
    </row>
    <row r="304" spans="1:27" x14ac:dyDescent="0.3">
      <c r="A304" t="s">
        <v>258</v>
      </c>
      <c r="B304" t="s">
        <v>258</v>
      </c>
      <c r="C304"/>
      <c r="D304"/>
      <c r="E304"/>
      <c r="F304" t="s">
        <v>461</v>
      </c>
      <c r="G304">
        <v>3.128571429</v>
      </c>
      <c r="H304">
        <v>1</v>
      </c>
      <c r="I304">
        <v>0</v>
      </c>
      <c r="J304">
        <v>1</v>
      </c>
      <c r="K304">
        <v>0</v>
      </c>
      <c r="L304">
        <v>0</v>
      </c>
      <c r="M304">
        <v>0</v>
      </c>
      <c r="N304">
        <v>1</v>
      </c>
      <c r="O304">
        <v>0</v>
      </c>
      <c r="P304">
        <v>0</v>
      </c>
      <c r="Q304">
        <v>0</v>
      </c>
      <c r="R304">
        <v>0</v>
      </c>
      <c r="S304">
        <v>0</v>
      </c>
      <c r="T304">
        <v>0</v>
      </c>
      <c r="U304">
        <v>0</v>
      </c>
      <c r="V304">
        <v>0</v>
      </c>
      <c r="W304">
        <v>0</v>
      </c>
      <c r="X304">
        <v>1</v>
      </c>
      <c r="Y304">
        <v>3</v>
      </c>
      <c r="Z304">
        <v>1</v>
      </c>
      <c r="AA304" t="b">
        <v>1</v>
      </c>
    </row>
    <row r="305" spans="1:27" x14ac:dyDescent="0.3">
      <c r="A305" t="s">
        <v>259</v>
      </c>
      <c r="B305" t="s">
        <v>259</v>
      </c>
      <c r="C305"/>
      <c r="D305"/>
      <c r="E305"/>
      <c r="F305"/>
      <c r="G305">
        <v>3.0507936510000002</v>
      </c>
      <c r="H305">
        <v>1</v>
      </c>
      <c r="I305">
        <v>0</v>
      </c>
      <c r="J305">
        <v>0</v>
      </c>
      <c r="K305">
        <v>0</v>
      </c>
      <c r="L305">
        <v>0</v>
      </c>
      <c r="M305">
        <v>0</v>
      </c>
      <c r="N305">
        <v>1</v>
      </c>
      <c r="O305">
        <v>0</v>
      </c>
      <c r="P305">
        <v>0</v>
      </c>
      <c r="Q305">
        <v>0</v>
      </c>
      <c r="R305">
        <v>0</v>
      </c>
      <c r="S305">
        <v>0</v>
      </c>
      <c r="T305">
        <v>0</v>
      </c>
      <c r="U305">
        <v>0</v>
      </c>
      <c r="V305">
        <v>0</v>
      </c>
      <c r="W305">
        <v>0</v>
      </c>
      <c r="X305">
        <v>0</v>
      </c>
      <c r="Y305">
        <v>2</v>
      </c>
      <c r="Z305">
        <v>0</v>
      </c>
      <c r="AA305" t="b">
        <v>0</v>
      </c>
    </row>
    <row r="306" spans="1:27" x14ac:dyDescent="0.3">
      <c r="A306" t="s">
        <v>260</v>
      </c>
      <c r="B306" t="s">
        <v>260</v>
      </c>
      <c r="C306"/>
      <c r="D306"/>
      <c r="E306"/>
      <c r="F306"/>
      <c r="G306">
        <v>4.19625</v>
      </c>
      <c r="H306">
        <v>1</v>
      </c>
      <c r="I306">
        <v>0</v>
      </c>
      <c r="J306">
        <v>0</v>
      </c>
      <c r="K306">
        <v>0</v>
      </c>
      <c r="L306">
        <v>1</v>
      </c>
      <c r="M306">
        <v>1</v>
      </c>
      <c r="N306">
        <v>0</v>
      </c>
      <c r="O306">
        <v>0</v>
      </c>
      <c r="P306">
        <v>0</v>
      </c>
      <c r="Q306">
        <v>0</v>
      </c>
      <c r="R306">
        <v>0</v>
      </c>
      <c r="S306">
        <v>0</v>
      </c>
      <c r="T306">
        <v>0</v>
      </c>
      <c r="U306">
        <v>0</v>
      </c>
      <c r="V306">
        <v>1</v>
      </c>
      <c r="W306">
        <v>0</v>
      </c>
      <c r="X306">
        <v>0</v>
      </c>
      <c r="Y306">
        <v>3</v>
      </c>
      <c r="Z306">
        <v>1</v>
      </c>
      <c r="AA306" t="b">
        <v>0</v>
      </c>
    </row>
    <row r="307" spans="1:27" x14ac:dyDescent="0.3">
      <c r="A307" t="s">
        <v>312</v>
      </c>
      <c r="B307" t="s">
        <v>438</v>
      </c>
      <c r="C307"/>
      <c r="D307" t="s">
        <v>312</v>
      </c>
      <c r="E307" t="s">
        <v>312</v>
      </c>
      <c r="F307"/>
      <c r="G307">
        <v>2.9750000000000001</v>
      </c>
      <c r="H307">
        <v>1</v>
      </c>
      <c r="I307">
        <v>0</v>
      </c>
      <c r="J307">
        <v>0</v>
      </c>
      <c r="K307">
        <v>1</v>
      </c>
      <c r="L307">
        <v>0</v>
      </c>
      <c r="M307">
        <v>1</v>
      </c>
      <c r="N307">
        <v>0</v>
      </c>
      <c r="O307">
        <v>0</v>
      </c>
      <c r="P307">
        <v>0</v>
      </c>
      <c r="Q307">
        <v>0</v>
      </c>
      <c r="R307">
        <v>0</v>
      </c>
      <c r="S307">
        <v>0</v>
      </c>
      <c r="T307">
        <v>0</v>
      </c>
      <c r="U307">
        <v>0</v>
      </c>
      <c r="V307">
        <v>0</v>
      </c>
      <c r="W307">
        <v>1</v>
      </c>
      <c r="X307">
        <v>1</v>
      </c>
      <c r="Y307">
        <v>3</v>
      </c>
      <c r="Z307">
        <v>2</v>
      </c>
      <c r="AA307" t="b">
        <v>0</v>
      </c>
    </row>
    <row r="308" spans="1:27" x14ac:dyDescent="0.3">
      <c r="A308" t="s">
        <v>261</v>
      </c>
      <c r="B308" t="s">
        <v>261</v>
      </c>
      <c r="C308"/>
      <c r="D308"/>
      <c r="E308"/>
      <c r="F308"/>
      <c r="G308">
        <v>2.95</v>
      </c>
      <c r="H308">
        <v>1</v>
      </c>
      <c r="I308">
        <v>1</v>
      </c>
      <c r="J308">
        <v>0</v>
      </c>
      <c r="K308">
        <v>1</v>
      </c>
      <c r="L308">
        <v>0</v>
      </c>
      <c r="M308">
        <v>1</v>
      </c>
      <c r="N308">
        <v>0</v>
      </c>
      <c r="O308">
        <v>0</v>
      </c>
      <c r="P308">
        <v>1</v>
      </c>
      <c r="Q308">
        <v>0</v>
      </c>
      <c r="R308">
        <v>0</v>
      </c>
      <c r="S308">
        <v>0</v>
      </c>
      <c r="T308">
        <v>0</v>
      </c>
      <c r="U308">
        <v>0</v>
      </c>
      <c r="V308">
        <v>1</v>
      </c>
      <c r="W308">
        <v>0</v>
      </c>
      <c r="X308">
        <v>1</v>
      </c>
      <c r="Y308">
        <v>5</v>
      </c>
      <c r="Z308">
        <v>2</v>
      </c>
      <c r="AA308" t="b">
        <v>0</v>
      </c>
    </row>
    <row r="309" spans="1:27" x14ac:dyDescent="0.3">
      <c r="A309" t="s">
        <v>262</v>
      </c>
      <c r="B309" t="s">
        <v>262</v>
      </c>
      <c r="C309"/>
      <c r="D309"/>
      <c r="E309"/>
      <c r="F309"/>
      <c r="G309">
        <v>2.7124999999999999</v>
      </c>
      <c r="H309">
        <v>1</v>
      </c>
      <c r="I309">
        <v>0</v>
      </c>
      <c r="J309">
        <v>1</v>
      </c>
      <c r="K309">
        <v>1</v>
      </c>
      <c r="L309">
        <v>0</v>
      </c>
      <c r="M309">
        <v>1</v>
      </c>
      <c r="N309">
        <v>0</v>
      </c>
      <c r="O309">
        <v>0</v>
      </c>
      <c r="P309">
        <v>0</v>
      </c>
      <c r="Q309">
        <v>0</v>
      </c>
      <c r="R309">
        <v>0</v>
      </c>
      <c r="S309">
        <v>0</v>
      </c>
      <c r="T309">
        <v>0</v>
      </c>
      <c r="U309">
        <v>0</v>
      </c>
      <c r="V309">
        <v>1</v>
      </c>
      <c r="W309">
        <v>0</v>
      </c>
      <c r="X309">
        <v>1</v>
      </c>
      <c r="Y309">
        <v>4</v>
      </c>
      <c r="Z309">
        <v>2</v>
      </c>
      <c r="AA309" t="b">
        <v>0</v>
      </c>
    </row>
    <row r="310" spans="1:27" x14ac:dyDescent="0.3">
      <c r="A310" t="s">
        <v>263</v>
      </c>
      <c r="B310" t="s">
        <v>263</v>
      </c>
      <c r="C310" t="s">
        <v>439</v>
      </c>
      <c r="D310"/>
      <c r="E310"/>
      <c r="F310"/>
      <c r="G310">
        <v>2.88</v>
      </c>
      <c r="H310">
        <v>0</v>
      </c>
      <c r="I310">
        <v>0</v>
      </c>
      <c r="J310">
        <v>1</v>
      </c>
      <c r="K310">
        <v>1</v>
      </c>
      <c r="L310">
        <v>0</v>
      </c>
      <c r="M310">
        <v>1</v>
      </c>
      <c r="N310">
        <v>0</v>
      </c>
      <c r="O310">
        <v>0</v>
      </c>
      <c r="P310">
        <v>1</v>
      </c>
      <c r="Q310">
        <v>0</v>
      </c>
      <c r="R310">
        <v>0</v>
      </c>
      <c r="S310">
        <v>0</v>
      </c>
      <c r="T310">
        <v>0</v>
      </c>
      <c r="U310">
        <v>0</v>
      </c>
      <c r="V310">
        <v>1</v>
      </c>
      <c r="W310">
        <v>1</v>
      </c>
      <c r="X310">
        <v>1</v>
      </c>
      <c r="Y310">
        <v>4</v>
      </c>
      <c r="Z310">
        <v>3</v>
      </c>
      <c r="AA310" t="b">
        <v>0</v>
      </c>
    </row>
    <row r="311" spans="1:27" x14ac:dyDescent="0.3">
      <c r="A311" t="s">
        <v>264</v>
      </c>
      <c r="B311"/>
      <c r="C311" t="s">
        <v>440</v>
      </c>
      <c r="D311"/>
      <c r="E311"/>
      <c r="F311"/>
      <c r="G311">
        <v>2.87984375</v>
      </c>
      <c r="H311">
        <v>1</v>
      </c>
      <c r="I311">
        <v>1</v>
      </c>
      <c r="J311">
        <v>0</v>
      </c>
      <c r="K311">
        <v>1</v>
      </c>
      <c r="L311">
        <v>0</v>
      </c>
      <c r="M311">
        <v>1</v>
      </c>
      <c r="N311">
        <v>0</v>
      </c>
      <c r="O311">
        <v>0</v>
      </c>
      <c r="P311">
        <v>0</v>
      </c>
      <c r="Q311">
        <v>0</v>
      </c>
      <c r="R311">
        <v>0</v>
      </c>
      <c r="S311">
        <v>0</v>
      </c>
      <c r="T311">
        <v>0</v>
      </c>
      <c r="U311">
        <v>0</v>
      </c>
      <c r="V311">
        <v>1</v>
      </c>
      <c r="W311">
        <v>1</v>
      </c>
      <c r="X311">
        <v>1</v>
      </c>
      <c r="Y311">
        <v>4</v>
      </c>
      <c r="Z311">
        <v>3</v>
      </c>
      <c r="AA311" t="b">
        <v>0</v>
      </c>
    </row>
    <row r="312" spans="1:27" x14ac:dyDescent="0.3">
      <c r="A312" t="s">
        <v>265</v>
      </c>
      <c r="B312" t="s">
        <v>265</v>
      </c>
      <c r="C312"/>
      <c r="D312"/>
      <c r="E312"/>
      <c r="F312"/>
      <c r="G312">
        <v>2.85</v>
      </c>
      <c r="H312">
        <v>1</v>
      </c>
      <c r="I312">
        <v>0</v>
      </c>
      <c r="J312">
        <v>1</v>
      </c>
      <c r="K312">
        <v>1</v>
      </c>
      <c r="L312">
        <v>0</v>
      </c>
      <c r="M312">
        <v>1</v>
      </c>
      <c r="N312">
        <v>0</v>
      </c>
      <c r="O312">
        <v>0</v>
      </c>
      <c r="P312">
        <v>1</v>
      </c>
      <c r="Q312">
        <v>0</v>
      </c>
      <c r="R312">
        <v>0</v>
      </c>
      <c r="S312">
        <v>1</v>
      </c>
      <c r="T312">
        <v>0</v>
      </c>
      <c r="U312">
        <v>0</v>
      </c>
      <c r="V312">
        <v>1</v>
      </c>
      <c r="W312">
        <v>0</v>
      </c>
      <c r="X312">
        <v>1</v>
      </c>
      <c r="Y312">
        <v>5</v>
      </c>
      <c r="Z312">
        <v>3</v>
      </c>
      <c r="AA312" t="b">
        <v>0</v>
      </c>
    </row>
    <row r="313" spans="1:27" x14ac:dyDescent="0.3">
      <c r="A313" t="s">
        <v>266</v>
      </c>
      <c r="B313" t="s">
        <v>266</v>
      </c>
      <c r="C313"/>
      <c r="D313"/>
      <c r="E313"/>
      <c r="F313"/>
      <c r="G313">
        <v>2.89</v>
      </c>
      <c r="H313">
        <v>0</v>
      </c>
      <c r="I313">
        <v>0</v>
      </c>
      <c r="J313">
        <v>0</v>
      </c>
      <c r="K313">
        <v>1</v>
      </c>
      <c r="L313">
        <v>0</v>
      </c>
      <c r="M313">
        <v>1</v>
      </c>
      <c r="N313">
        <v>0</v>
      </c>
      <c r="O313">
        <v>0</v>
      </c>
      <c r="P313">
        <v>1</v>
      </c>
      <c r="Q313">
        <v>0</v>
      </c>
      <c r="R313">
        <v>0</v>
      </c>
      <c r="S313">
        <v>0</v>
      </c>
      <c r="T313">
        <v>0</v>
      </c>
      <c r="U313">
        <v>0</v>
      </c>
      <c r="V313">
        <v>1</v>
      </c>
      <c r="W313">
        <v>1</v>
      </c>
      <c r="X313">
        <v>1</v>
      </c>
      <c r="Y313">
        <v>3</v>
      </c>
      <c r="Z313">
        <v>3</v>
      </c>
      <c r="AA313" t="b">
        <v>0</v>
      </c>
    </row>
    <row r="314" spans="1:27" x14ac:dyDescent="0.3">
      <c r="A314" t="s">
        <v>339</v>
      </c>
      <c r="B314" t="s">
        <v>441</v>
      </c>
      <c r="C314"/>
      <c r="D314" t="s">
        <v>339</v>
      </c>
      <c r="E314"/>
      <c r="F314"/>
      <c r="G314">
        <v>2.9</v>
      </c>
      <c r="H314">
        <v>1</v>
      </c>
      <c r="I314">
        <v>1</v>
      </c>
      <c r="J314">
        <v>1</v>
      </c>
      <c r="K314">
        <v>1</v>
      </c>
      <c r="L314">
        <v>0</v>
      </c>
      <c r="M314">
        <v>1</v>
      </c>
      <c r="N314">
        <v>0</v>
      </c>
      <c r="O314">
        <v>0</v>
      </c>
      <c r="P314">
        <v>1</v>
      </c>
      <c r="Q314">
        <v>0</v>
      </c>
      <c r="R314">
        <v>0</v>
      </c>
      <c r="S314">
        <v>0</v>
      </c>
      <c r="T314">
        <v>0</v>
      </c>
      <c r="U314">
        <v>0</v>
      </c>
      <c r="V314">
        <v>1</v>
      </c>
      <c r="W314">
        <v>0</v>
      </c>
      <c r="X314">
        <v>1</v>
      </c>
      <c r="Y314">
        <v>6</v>
      </c>
      <c r="Z314">
        <v>2</v>
      </c>
      <c r="AA314" t="b">
        <v>0</v>
      </c>
    </row>
    <row r="315" spans="1:27" x14ac:dyDescent="0.3">
      <c r="A315" t="s">
        <v>267</v>
      </c>
      <c r="B315" t="s">
        <v>267</v>
      </c>
      <c r="C315"/>
      <c r="D315"/>
      <c r="E315"/>
      <c r="F315"/>
      <c r="G315">
        <v>2.8285714290000001</v>
      </c>
      <c r="H315">
        <v>0</v>
      </c>
      <c r="I315">
        <v>0</v>
      </c>
      <c r="J315">
        <v>1</v>
      </c>
      <c r="K315">
        <v>1</v>
      </c>
      <c r="L315">
        <v>0</v>
      </c>
      <c r="M315">
        <v>1</v>
      </c>
      <c r="N315">
        <v>0</v>
      </c>
      <c r="O315">
        <v>0</v>
      </c>
      <c r="P315">
        <v>1</v>
      </c>
      <c r="Q315">
        <v>0</v>
      </c>
      <c r="R315">
        <v>0</v>
      </c>
      <c r="S315">
        <v>0</v>
      </c>
      <c r="T315">
        <v>1</v>
      </c>
      <c r="U315">
        <v>0</v>
      </c>
      <c r="V315">
        <v>1</v>
      </c>
      <c r="W315">
        <v>0</v>
      </c>
      <c r="X315">
        <v>1</v>
      </c>
      <c r="Y315">
        <v>4</v>
      </c>
      <c r="Z315">
        <v>3</v>
      </c>
      <c r="AA315" t="b">
        <v>0</v>
      </c>
    </row>
    <row r="316" spans="1:27" x14ac:dyDescent="0.3">
      <c r="A316" t="s">
        <v>320</v>
      </c>
      <c r="B316" t="s">
        <v>442</v>
      </c>
      <c r="C316"/>
      <c r="D316" t="s">
        <v>320</v>
      </c>
      <c r="E316" t="s">
        <v>320</v>
      </c>
      <c r="F316"/>
      <c r="G316">
        <v>2.7374999999999998</v>
      </c>
      <c r="H316">
        <v>1</v>
      </c>
      <c r="I316">
        <v>1</v>
      </c>
      <c r="J316">
        <v>1</v>
      </c>
      <c r="K316">
        <v>1</v>
      </c>
      <c r="L316">
        <v>1</v>
      </c>
      <c r="M316">
        <v>1</v>
      </c>
      <c r="N316">
        <v>1</v>
      </c>
      <c r="O316">
        <v>0</v>
      </c>
      <c r="P316">
        <v>1</v>
      </c>
      <c r="Q316">
        <v>0</v>
      </c>
      <c r="R316">
        <v>0</v>
      </c>
      <c r="S316">
        <v>0</v>
      </c>
      <c r="T316">
        <v>0</v>
      </c>
      <c r="U316">
        <v>0</v>
      </c>
      <c r="V316">
        <v>1</v>
      </c>
      <c r="W316">
        <v>1</v>
      </c>
      <c r="X316">
        <v>1</v>
      </c>
      <c r="Y316">
        <v>8</v>
      </c>
      <c r="Z316">
        <v>3</v>
      </c>
      <c r="AA316" t="b">
        <v>0</v>
      </c>
    </row>
    <row r="317" spans="1:27" x14ac:dyDescent="0.3">
      <c r="A317" t="s">
        <v>301</v>
      </c>
      <c r="B317" t="s">
        <v>443</v>
      </c>
      <c r="C317"/>
      <c r="D317" t="s">
        <v>301</v>
      </c>
      <c r="E317" t="s">
        <v>301</v>
      </c>
      <c r="F317"/>
      <c r="G317">
        <v>2.9071400000000001</v>
      </c>
      <c r="H317">
        <v>1</v>
      </c>
      <c r="I317">
        <v>0</v>
      </c>
      <c r="J317">
        <v>1</v>
      </c>
      <c r="K317">
        <v>1</v>
      </c>
      <c r="L317">
        <v>0</v>
      </c>
      <c r="M317">
        <v>0</v>
      </c>
      <c r="N317">
        <v>0</v>
      </c>
      <c r="O317">
        <v>0</v>
      </c>
      <c r="P317">
        <v>0</v>
      </c>
      <c r="Q317">
        <v>0</v>
      </c>
      <c r="R317">
        <v>0</v>
      </c>
      <c r="S317">
        <v>0</v>
      </c>
      <c r="T317">
        <v>0</v>
      </c>
      <c r="U317">
        <v>0</v>
      </c>
      <c r="V317">
        <v>0</v>
      </c>
      <c r="W317">
        <v>0</v>
      </c>
      <c r="X317">
        <v>1</v>
      </c>
      <c r="Y317">
        <v>3</v>
      </c>
      <c r="Z317">
        <v>1</v>
      </c>
      <c r="AA317" t="b">
        <v>0</v>
      </c>
    </row>
    <row r="318" spans="1:27" x14ac:dyDescent="0.3">
      <c r="A318" t="s">
        <v>268</v>
      </c>
      <c r="B318" t="s">
        <v>268</v>
      </c>
      <c r="C318"/>
      <c r="D318"/>
      <c r="E318"/>
      <c r="F318"/>
      <c r="G318">
        <v>6.91</v>
      </c>
      <c r="H318">
        <v>1</v>
      </c>
      <c r="I318">
        <v>0</v>
      </c>
      <c r="J318">
        <v>0</v>
      </c>
      <c r="K318">
        <v>1</v>
      </c>
      <c r="L318">
        <v>1</v>
      </c>
      <c r="M318">
        <v>1</v>
      </c>
      <c r="N318">
        <v>0</v>
      </c>
      <c r="O318">
        <v>0</v>
      </c>
      <c r="P318">
        <v>0</v>
      </c>
      <c r="Q318">
        <v>0</v>
      </c>
      <c r="R318">
        <v>0</v>
      </c>
      <c r="S318">
        <v>0</v>
      </c>
      <c r="T318">
        <v>0</v>
      </c>
      <c r="U318">
        <v>0</v>
      </c>
      <c r="V318">
        <v>0</v>
      </c>
      <c r="W318">
        <v>1</v>
      </c>
      <c r="X318">
        <v>1</v>
      </c>
      <c r="Y318">
        <v>4</v>
      </c>
      <c r="Z318">
        <v>2</v>
      </c>
      <c r="AA318" t="b">
        <v>0</v>
      </c>
    </row>
    <row r="319" spans="1:27" x14ac:dyDescent="0.3">
      <c r="A319" t="s">
        <v>269</v>
      </c>
      <c r="B319"/>
      <c r="C319" t="s">
        <v>444</v>
      </c>
      <c r="D319"/>
      <c r="E319"/>
      <c r="F319"/>
      <c r="G319">
        <v>5.5774999999999997</v>
      </c>
      <c r="H319">
        <v>1</v>
      </c>
      <c r="I319">
        <v>0</v>
      </c>
      <c r="J319">
        <v>0</v>
      </c>
      <c r="K319">
        <v>1</v>
      </c>
      <c r="L319">
        <v>1</v>
      </c>
      <c r="M319">
        <v>1</v>
      </c>
      <c r="N319">
        <v>0</v>
      </c>
      <c r="O319">
        <v>0</v>
      </c>
      <c r="P319">
        <v>0</v>
      </c>
      <c r="Q319">
        <v>0</v>
      </c>
      <c r="R319">
        <v>0</v>
      </c>
      <c r="S319">
        <v>0</v>
      </c>
      <c r="T319">
        <v>0</v>
      </c>
      <c r="U319">
        <v>0</v>
      </c>
      <c r="V319">
        <v>0</v>
      </c>
      <c r="W319">
        <v>0</v>
      </c>
      <c r="X319">
        <v>1</v>
      </c>
      <c r="Y319">
        <v>4</v>
      </c>
      <c r="Z319">
        <v>1</v>
      </c>
      <c r="AA319" t="b">
        <v>0</v>
      </c>
    </row>
    <row r="320" spans="1:27" x14ac:dyDescent="0.3">
      <c r="A320" t="s">
        <v>270</v>
      </c>
      <c r="B320" t="s">
        <v>445</v>
      </c>
      <c r="C320"/>
      <c r="D320" t="s">
        <v>506</v>
      </c>
      <c r="E320"/>
      <c r="F320"/>
      <c r="G320">
        <v>5.9375</v>
      </c>
      <c r="H320">
        <v>0</v>
      </c>
      <c r="I320">
        <v>0</v>
      </c>
      <c r="J320">
        <v>0</v>
      </c>
      <c r="K320">
        <v>1</v>
      </c>
      <c r="L320">
        <v>1</v>
      </c>
      <c r="M320">
        <v>0</v>
      </c>
      <c r="N320">
        <v>0</v>
      </c>
      <c r="O320">
        <v>0</v>
      </c>
      <c r="P320">
        <v>0</v>
      </c>
      <c r="Q320">
        <v>0</v>
      </c>
      <c r="R320">
        <v>0</v>
      </c>
      <c r="S320">
        <v>0</v>
      </c>
      <c r="T320">
        <v>0</v>
      </c>
      <c r="U320">
        <v>0</v>
      </c>
      <c r="V320">
        <v>0</v>
      </c>
      <c r="W320">
        <v>0</v>
      </c>
      <c r="X320">
        <v>1</v>
      </c>
      <c r="Y320">
        <v>2</v>
      </c>
      <c r="Z320">
        <v>1</v>
      </c>
      <c r="AA320" t="b">
        <v>1</v>
      </c>
    </row>
    <row r="321" spans="1:27" x14ac:dyDescent="0.3">
      <c r="A321" t="s">
        <v>271</v>
      </c>
      <c r="B321" t="s">
        <v>446</v>
      </c>
      <c r="C321"/>
      <c r="D321" t="s">
        <v>503</v>
      </c>
      <c r="E321"/>
      <c r="F321"/>
      <c r="G321">
        <v>8.11</v>
      </c>
      <c r="H321">
        <v>1</v>
      </c>
      <c r="I321">
        <v>0</v>
      </c>
      <c r="J321">
        <v>0</v>
      </c>
      <c r="K321">
        <v>0</v>
      </c>
      <c r="L321">
        <v>0</v>
      </c>
      <c r="M321">
        <v>1</v>
      </c>
      <c r="N321">
        <v>0</v>
      </c>
      <c r="O321">
        <v>0</v>
      </c>
      <c r="P321">
        <v>0</v>
      </c>
      <c r="Q321">
        <v>0</v>
      </c>
      <c r="R321">
        <v>0</v>
      </c>
      <c r="S321">
        <v>0</v>
      </c>
      <c r="T321">
        <v>0</v>
      </c>
      <c r="U321">
        <v>0</v>
      </c>
      <c r="V321">
        <v>0</v>
      </c>
      <c r="W321">
        <v>1</v>
      </c>
      <c r="X321">
        <v>1</v>
      </c>
      <c r="Y321">
        <v>2</v>
      </c>
      <c r="Z321">
        <v>2</v>
      </c>
      <c r="AA321" t="b">
        <v>0</v>
      </c>
    </row>
    <row r="322" spans="1:27" x14ac:dyDescent="0.3">
      <c r="A322" t="s">
        <v>272</v>
      </c>
      <c r="B322" t="s">
        <v>272</v>
      </c>
      <c r="C322"/>
      <c r="D322"/>
      <c r="E322"/>
      <c r="F322"/>
      <c r="G322">
        <v>10.03333333</v>
      </c>
      <c r="H322">
        <v>1</v>
      </c>
      <c r="I322">
        <v>0</v>
      </c>
      <c r="J322">
        <v>0</v>
      </c>
      <c r="K322">
        <v>0</v>
      </c>
      <c r="L322">
        <v>0</v>
      </c>
      <c r="M322">
        <v>1</v>
      </c>
      <c r="N322">
        <v>0</v>
      </c>
      <c r="O322">
        <v>0</v>
      </c>
      <c r="P322">
        <v>1</v>
      </c>
      <c r="Q322">
        <v>0</v>
      </c>
      <c r="R322">
        <v>0</v>
      </c>
      <c r="S322">
        <v>0</v>
      </c>
      <c r="T322">
        <v>0</v>
      </c>
      <c r="U322">
        <v>0</v>
      </c>
      <c r="V322">
        <v>0</v>
      </c>
      <c r="W322">
        <v>0</v>
      </c>
      <c r="X322">
        <v>1</v>
      </c>
      <c r="Y322">
        <v>3</v>
      </c>
      <c r="Z322">
        <v>1</v>
      </c>
      <c r="AA322" t="b">
        <v>0</v>
      </c>
    </row>
    <row r="323" spans="1:27" x14ac:dyDescent="0.3">
      <c r="A323" t="s">
        <v>273</v>
      </c>
      <c r="B323"/>
      <c r="C323" t="s">
        <v>447</v>
      </c>
      <c r="D323"/>
      <c r="E323"/>
      <c r="F323"/>
      <c r="G323">
        <v>5.6833333330000002</v>
      </c>
      <c r="H323">
        <v>1</v>
      </c>
      <c r="I323">
        <v>0</v>
      </c>
      <c r="J323">
        <v>0</v>
      </c>
      <c r="K323">
        <v>1</v>
      </c>
      <c r="L323">
        <v>1</v>
      </c>
      <c r="M323">
        <v>1</v>
      </c>
      <c r="N323">
        <v>0</v>
      </c>
      <c r="O323">
        <v>0</v>
      </c>
      <c r="P323">
        <v>0</v>
      </c>
      <c r="Q323">
        <v>0</v>
      </c>
      <c r="R323">
        <v>0</v>
      </c>
      <c r="S323">
        <v>0</v>
      </c>
      <c r="T323">
        <v>0</v>
      </c>
      <c r="U323">
        <v>0</v>
      </c>
      <c r="V323">
        <v>0</v>
      </c>
      <c r="W323">
        <v>1</v>
      </c>
      <c r="X323">
        <v>1</v>
      </c>
      <c r="Y323">
        <v>4</v>
      </c>
      <c r="Z323">
        <v>2</v>
      </c>
      <c r="AA323" t="b">
        <v>0</v>
      </c>
    </row>
    <row r="324" spans="1:27" x14ac:dyDescent="0.3">
      <c r="A324" t="s">
        <v>274</v>
      </c>
      <c r="B324" t="s">
        <v>274</v>
      </c>
      <c r="C324"/>
      <c r="D324"/>
      <c r="E324"/>
      <c r="F324"/>
      <c r="G324">
        <v>5.0404166669999997</v>
      </c>
      <c r="H324">
        <v>1</v>
      </c>
      <c r="I324">
        <v>0</v>
      </c>
      <c r="J324">
        <v>0</v>
      </c>
      <c r="K324">
        <v>1</v>
      </c>
      <c r="L324">
        <v>1</v>
      </c>
      <c r="M324">
        <v>1</v>
      </c>
      <c r="N324">
        <v>0</v>
      </c>
      <c r="O324">
        <v>0</v>
      </c>
      <c r="P324">
        <v>0</v>
      </c>
      <c r="Q324">
        <v>0</v>
      </c>
      <c r="R324">
        <v>0</v>
      </c>
      <c r="S324">
        <v>0</v>
      </c>
      <c r="T324">
        <v>0</v>
      </c>
      <c r="U324">
        <v>0</v>
      </c>
      <c r="V324">
        <v>0</v>
      </c>
      <c r="W324">
        <v>1</v>
      </c>
      <c r="X324">
        <v>1</v>
      </c>
      <c r="Y324">
        <v>4</v>
      </c>
      <c r="Z324">
        <v>2</v>
      </c>
      <c r="AA324" t="b">
        <v>0</v>
      </c>
    </row>
    <row r="325" spans="1:27" x14ac:dyDescent="0.3">
      <c r="A325" t="s">
        <v>275</v>
      </c>
      <c r="B325" t="s">
        <v>275</v>
      </c>
      <c r="C325"/>
      <c r="D325"/>
      <c r="E325"/>
      <c r="F325"/>
      <c r="G325">
        <v>4.8499999999999996</v>
      </c>
      <c r="H325">
        <v>1</v>
      </c>
      <c r="I325">
        <v>0</v>
      </c>
      <c r="J325">
        <v>0</v>
      </c>
      <c r="K325">
        <v>1</v>
      </c>
      <c r="L325">
        <v>1</v>
      </c>
      <c r="M325">
        <v>1</v>
      </c>
      <c r="N325">
        <v>0</v>
      </c>
      <c r="O325">
        <v>1</v>
      </c>
      <c r="P325">
        <v>0</v>
      </c>
      <c r="Q325">
        <v>0</v>
      </c>
      <c r="R325">
        <v>0</v>
      </c>
      <c r="S325">
        <v>0</v>
      </c>
      <c r="T325">
        <v>0</v>
      </c>
      <c r="U325">
        <v>0</v>
      </c>
      <c r="V325">
        <v>0</v>
      </c>
      <c r="W325">
        <v>0</v>
      </c>
      <c r="X325">
        <v>1</v>
      </c>
      <c r="Y325">
        <v>5</v>
      </c>
      <c r="Z325">
        <v>1</v>
      </c>
      <c r="AA325" t="b">
        <v>0</v>
      </c>
    </row>
    <row r="326" spans="1:27" x14ac:dyDescent="0.3">
      <c r="A326" t="s">
        <v>276</v>
      </c>
      <c r="B326" t="s">
        <v>276</v>
      </c>
      <c r="C326"/>
      <c r="D326"/>
      <c r="E326"/>
      <c r="F326"/>
      <c r="G326">
        <v>5.8333333329999997</v>
      </c>
      <c r="H326">
        <v>0</v>
      </c>
      <c r="I326">
        <v>0</v>
      </c>
      <c r="J326">
        <v>0</v>
      </c>
      <c r="K326">
        <v>1</v>
      </c>
      <c r="L326">
        <v>1</v>
      </c>
      <c r="M326">
        <v>0</v>
      </c>
      <c r="N326">
        <v>0</v>
      </c>
      <c r="O326">
        <v>0</v>
      </c>
      <c r="P326">
        <v>0</v>
      </c>
      <c r="Q326">
        <v>0</v>
      </c>
      <c r="R326">
        <v>0</v>
      </c>
      <c r="S326">
        <v>0</v>
      </c>
      <c r="T326">
        <v>0</v>
      </c>
      <c r="U326">
        <v>0</v>
      </c>
      <c r="V326">
        <v>0</v>
      </c>
      <c r="W326">
        <v>0</v>
      </c>
      <c r="X326">
        <v>1</v>
      </c>
      <c r="Y326">
        <v>2</v>
      </c>
      <c r="Z326">
        <v>1</v>
      </c>
      <c r="AA326" t="b">
        <v>0</v>
      </c>
    </row>
    <row r="327" spans="1:27" x14ac:dyDescent="0.3">
      <c r="A327" t="s">
        <v>277</v>
      </c>
      <c r="B327" t="s">
        <v>277</v>
      </c>
      <c r="C327"/>
      <c r="D327"/>
      <c r="E327"/>
      <c r="F327"/>
      <c r="G327">
        <v>2.4750000000000001</v>
      </c>
      <c r="H327">
        <v>1</v>
      </c>
      <c r="I327">
        <v>0</v>
      </c>
      <c r="J327">
        <v>1</v>
      </c>
      <c r="K327">
        <v>0</v>
      </c>
      <c r="L327">
        <v>0</v>
      </c>
      <c r="M327">
        <v>1</v>
      </c>
      <c r="N327">
        <v>0</v>
      </c>
      <c r="O327">
        <v>0</v>
      </c>
      <c r="P327">
        <v>0</v>
      </c>
      <c r="Q327">
        <v>0</v>
      </c>
      <c r="R327">
        <v>0</v>
      </c>
      <c r="S327">
        <v>0</v>
      </c>
      <c r="T327">
        <v>0</v>
      </c>
      <c r="U327">
        <v>0</v>
      </c>
      <c r="V327">
        <v>0</v>
      </c>
      <c r="W327">
        <v>0</v>
      </c>
      <c r="X327">
        <v>1</v>
      </c>
      <c r="Y327">
        <v>3</v>
      </c>
      <c r="Z327">
        <v>1</v>
      </c>
      <c r="AA327" t="b">
        <v>0</v>
      </c>
    </row>
    <row r="328" spans="1:27" x14ac:dyDescent="0.3">
      <c r="A328" t="s">
        <v>278</v>
      </c>
      <c r="B328" t="s">
        <v>278</v>
      </c>
      <c r="C328"/>
      <c r="D328"/>
      <c r="E328"/>
      <c r="F328"/>
      <c r="G328">
        <v>2.625</v>
      </c>
      <c r="H328">
        <v>1</v>
      </c>
      <c r="I328">
        <v>0</v>
      </c>
      <c r="J328">
        <v>1</v>
      </c>
      <c r="K328">
        <v>1</v>
      </c>
      <c r="L328">
        <v>0</v>
      </c>
      <c r="M328">
        <v>0</v>
      </c>
      <c r="N328">
        <v>0</v>
      </c>
      <c r="O328">
        <v>0</v>
      </c>
      <c r="P328">
        <v>0</v>
      </c>
      <c r="Q328">
        <v>0</v>
      </c>
      <c r="R328">
        <v>0</v>
      </c>
      <c r="S328">
        <v>0</v>
      </c>
      <c r="T328">
        <v>0</v>
      </c>
      <c r="U328">
        <v>0</v>
      </c>
      <c r="V328">
        <v>0</v>
      </c>
      <c r="W328">
        <v>1</v>
      </c>
      <c r="X328">
        <v>0</v>
      </c>
      <c r="Y328">
        <v>3</v>
      </c>
      <c r="Z328">
        <v>1</v>
      </c>
      <c r="AA328" t="b">
        <v>0</v>
      </c>
    </row>
    <row r="329" spans="1:27" x14ac:dyDescent="0.3">
      <c r="A329" t="s">
        <v>279</v>
      </c>
      <c r="B329" t="s">
        <v>279</v>
      </c>
      <c r="C329"/>
      <c r="D329"/>
      <c r="E329"/>
      <c r="F329"/>
      <c r="G329">
        <v>2.3275000000000001</v>
      </c>
      <c r="H329">
        <v>0</v>
      </c>
      <c r="I329">
        <v>1</v>
      </c>
      <c r="J329">
        <v>0</v>
      </c>
      <c r="K329">
        <v>1</v>
      </c>
      <c r="L329">
        <v>0</v>
      </c>
      <c r="M329">
        <v>0</v>
      </c>
      <c r="N329">
        <v>0</v>
      </c>
      <c r="O329">
        <v>0</v>
      </c>
      <c r="P329">
        <v>1</v>
      </c>
      <c r="Q329">
        <v>0</v>
      </c>
      <c r="R329">
        <v>0</v>
      </c>
      <c r="S329">
        <v>0</v>
      </c>
      <c r="T329">
        <v>0</v>
      </c>
      <c r="U329">
        <v>0</v>
      </c>
      <c r="V329">
        <v>1</v>
      </c>
      <c r="W329">
        <v>0</v>
      </c>
      <c r="X329">
        <v>1</v>
      </c>
      <c r="Y329">
        <v>3</v>
      </c>
      <c r="Z329">
        <v>2</v>
      </c>
      <c r="AA329" t="b">
        <v>0</v>
      </c>
    </row>
    <row r="330" spans="1:27" x14ac:dyDescent="0.3">
      <c r="A330" t="s">
        <v>280</v>
      </c>
      <c r="B330" t="s">
        <v>448</v>
      </c>
      <c r="C330"/>
      <c r="D330"/>
      <c r="E330"/>
      <c r="F330"/>
      <c r="G330">
        <v>2.85</v>
      </c>
      <c r="H330">
        <v>0</v>
      </c>
      <c r="I330">
        <v>1</v>
      </c>
      <c r="J330">
        <v>1</v>
      </c>
      <c r="K330">
        <v>0</v>
      </c>
      <c r="L330">
        <v>1</v>
      </c>
      <c r="M330">
        <v>1</v>
      </c>
      <c r="N330">
        <v>0</v>
      </c>
      <c r="O330">
        <v>0</v>
      </c>
      <c r="P330">
        <v>1</v>
      </c>
      <c r="Q330">
        <v>0</v>
      </c>
      <c r="R330">
        <v>0</v>
      </c>
      <c r="S330">
        <v>0</v>
      </c>
      <c r="T330">
        <v>0</v>
      </c>
      <c r="U330">
        <v>0</v>
      </c>
      <c r="V330">
        <v>1</v>
      </c>
      <c r="W330">
        <v>0</v>
      </c>
      <c r="X330">
        <v>1</v>
      </c>
      <c r="Y330">
        <v>5</v>
      </c>
      <c r="Z330">
        <v>2</v>
      </c>
      <c r="AA330" t="b">
        <v>1</v>
      </c>
    </row>
    <row r="331" spans="1:27" s="2" customFormat="1" x14ac:dyDescent="0.3">
      <c r="A331" s="3"/>
      <c r="B331" s="3" t="s">
        <v>479</v>
      </c>
      <c r="C331" s="3"/>
      <c r="D331" s="3" t="s">
        <v>480</v>
      </c>
      <c r="E331" s="3" t="s">
        <v>480</v>
      </c>
      <c r="F331" s="3"/>
      <c r="G331" s="3">
        <v>2.75</v>
      </c>
      <c r="H331" s="3"/>
      <c r="I331" s="3"/>
      <c r="J331" s="3"/>
      <c r="K331" s="3"/>
      <c r="L331" s="3"/>
      <c r="M331" s="3"/>
      <c r="N331" s="3"/>
      <c r="O331" s="3"/>
      <c r="P331" s="3"/>
      <c r="Q331" s="3"/>
      <c r="R331" s="3"/>
      <c r="S331" s="3">
        <v>0</v>
      </c>
      <c r="T331" s="3">
        <v>0</v>
      </c>
      <c r="U331" s="3">
        <v>0</v>
      </c>
      <c r="V331" s="3">
        <v>1</v>
      </c>
      <c r="W331" s="3">
        <v>0</v>
      </c>
      <c r="X331" s="3">
        <v>1</v>
      </c>
      <c r="Y331" s="3"/>
      <c r="Z331" s="3">
        <v>2</v>
      </c>
      <c r="AA331" s="3" t="b">
        <v>0</v>
      </c>
    </row>
    <row r="332" spans="1:27" x14ac:dyDescent="0.3">
      <c r="A332" t="s">
        <v>281</v>
      </c>
      <c r="B332" t="s">
        <v>281</v>
      </c>
      <c r="C332"/>
      <c r="D332"/>
      <c r="E332"/>
      <c r="F332"/>
      <c r="G332">
        <v>2.6749999999999998</v>
      </c>
      <c r="H332">
        <v>0</v>
      </c>
      <c r="I332">
        <v>0</v>
      </c>
      <c r="J332">
        <v>0</v>
      </c>
      <c r="K332">
        <v>1</v>
      </c>
      <c r="L332">
        <v>0</v>
      </c>
      <c r="M332">
        <v>1</v>
      </c>
      <c r="N332">
        <v>0</v>
      </c>
      <c r="O332">
        <v>0</v>
      </c>
      <c r="P332">
        <v>0</v>
      </c>
      <c r="Q332">
        <v>0</v>
      </c>
      <c r="R332">
        <v>0</v>
      </c>
      <c r="S332">
        <v>0</v>
      </c>
      <c r="T332">
        <v>0</v>
      </c>
      <c r="U332">
        <v>0</v>
      </c>
      <c r="V332">
        <v>0</v>
      </c>
      <c r="W332">
        <v>1</v>
      </c>
      <c r="X332">
        <v>1</v>
      </c>
      <c r="Y332">
        <v>2</v>
      </c>
      <c r="Z332">
        <v>2</v>
      </c>
      <c r="AA332" t="b">
        <v>0</v>
      </c>
    </row>
    <row r="333" spans="1:27" x14ac:dyDescent="0.3">
      <c r="A333" t="s">
        <v>282</v>
      </c>
      <c r="B333" t="s">
        <v>282</v>
      </c>
      <c r="C333"/>
      <c r="D333"/>
      <c r="E333"/>
      <c r="F333"/>
      <c r="G333">
        <v>3.15</v>
      </c>
      <c r="H333">
        <v>0</v>
      </c>
      <c r="I333">
        <v>0</v>
      </c>
      <c r="J333">
        <v>0</v>
      </c>
      <c r="K333">
        <v>1</v>
      </c>
      <c r="L333">
        <v>0</v>
      </c>
      <c r="M333">
        <v>1</v>
      </c>
      <c r="N333">
        <v>0</v>
      </c>
      <c r="O333">
        <v>0</v>
      </c>
      <c r="P333">
        <v>0</v>
      </c>
      <c r="Q333">
        <v>0</v>
      </c>
      <c r="R333">
        <v>0</v>
      </c>
      <c r="S333">
        <v>0</v>
      </c>
      <c r="T333">
        <v>0</v>
      </c>
      <c r="U333">
        <v>0</v>
      </c>
      <c r="V333">
        <v>0</v>
      </c>
      <c r="W333">
        <v>1</v>
      </c>
      <c r="X333">
        <v>0</v>
      </c>
      <c r="Y333">
        <v>2</v>
      </c>
      <c r="Z333">
        <v>1</v>
      </c>
      <c r="AA333" t="b">
        <v>0</v>
      </c>
    </row>
    <row r="334" spans="1:27" x14ac:dyDescent="0.3">
      <c r="A334" t="s">
        <v>283</v>
      </c>
      <c r="B334" t="s">
        <v>283</v>
      </c>
      <c r="C334"/>
      <c r="D334"/>
      <c r="E334"/>
      <c r="F334"/>
      <c r="G334">
        <v>2.5499999999999998</v>
      </c>
      <c r="H334">
        <v>0</v>
      </c>
      <c r="I334">
        <v>0</v>
      </c>
      <c r="J334">
        <v>1</v>
      </c>
      <c r="K334">
        <v>1</v>
      </c>
      <c r="L334">
        <v>1</v>
      </c>
      <c r="M334">
        <v>1</v>
      </c>
      <c r="N334">
        <v>0</v>
      </c>
      <c r="O334">
        <v>0</v>
      </c>
      <c r="P334">
        <v>0</v>
      </c>
      <c r="Q334">
        <v>0</v>
      </c>
      <c r="R334">
        <v>0</v>
      </c>
      <c r="S334">
        <v>0</v>
      </c>
      <c r="T334">
        <v>0</v>
      </c>
      <c r="U334">
        <v>0</v>
      </c>
      <c r="V334">
        <v>0</v>
      </c>
      <c r="W334">
        <v>1</v>
      </c>
      <c r="X334">
        <v>1</v>
      </c>
      <c r="Y334">
        <v>4</v>
      </c>
      <c r="Z334">
        <v>2</v>
      </c>
      <c r="AA334" t="b">
        <v>0</v>
      </c>
    </row>
    <row r="335" spans="1:27" x14ac:dyDescent="0.3">
      <c r="A335" t="s">
        <v>340</v>
      </c>
      <c r="B335" t="s">
        <v>449</v>
      </c>
      <c r="C335"/>
      <c r="D335" t="s">
        <v>340</v>
      </c>
      <c r="E335" t="s">
        <v>340</v>
      </c>
      <c r="F335"/>
      <c r="G335">
        <v>3.65</v>
      </c>
      <c r="H335">
        <v>0</v>
      </c>
      <c r="I335">
        <v>0</v>
      </c>
      <c r="J335">
        <v>0</v>
      </c>
      <c r="K335">
        <v>1</v>
      </c>
      <c r="L335">
        <v>0</v>
      </c>
      <c r="M335">
        <v>0</v>
      </c>
      <c r="N335">
        <v>0</v>
      </c>
      <c r="O335">
        <v>0</v>
      </c>
      <c r="P335">
        <v>0</v>
      </c>
      <c r="Q335">
        <v>0</v>
      </c>
      <c r="R335">
        <v>0</v>
      </c>
      <c r="S335">
        <v>0</v>
      </c>
      <c r="T335">
        <v>0</v>
      </c>
      <c r="U335">
        <v>0</v>
      </c>
      <c r="V335">
        <v>0</v>
      </c>
      <c r="W335">
        <v>1</v>
      </c>
      <c r="X335">
        <v>1</v>
      </c>
      <c r="Y335">
        <v>1</v>
      </c>
      <c r="Z335">
        <v>2</v>
      </c>
      <c r="AA335" t="b">
        <v>0</v>
      </c>
    </row>
    <row r="336" spans="1:27" x14ac:dyDescent="0.3">
      <c r="A336" t="s">
        <v>284</v>
      </c>
      <c r="B336" t="s">
        <v>284</v>
      </c>
      <c r="C336"/>
      <c r="D336"/>
      <c r="E336"/>
      <c r="F336"/>
      <c r="G336">
        <v>3.5943055560000001</v>
      </c>
      <c r="H336">
        <v>0</v>
      </c>
      <c r="I336">
        <v>1</v>
      </c>
      <c r="J336">
        <v>0</v>
      </c>
      <c r="K336">
        <v>1</v>
      </c>
      <c r="L336">
        <v>0</v>
      </c>
      <c r="M336">
        <v>0</v>
      </c>
      <c r="N336">
        <v>0</v>
      </c>
      <c r="O336">
        <v>0</v>
      </c>
      <c r="P336">
        <v>0</v>
      </c>
      <c r="Q336">
        <v>0</v>
      </c>
      <c r="R336">
        <v>0</v>
      </c>
      <c r="S336">
        <v>0</v>
      </c>
      <c r="T336">
        <v>0</v>
      </c>
      <c r="U336">
        <v>0</v>
      </c>
      <c r="V336">
        <v>0</v>
      </c>
      <c r="W336">
        <v>1</v>
      </c>
      <c r="X336">
        <v>1</v>
      </c>
      <c r="Y336">
        <v>2</v>
      </c>
      <c r="Z336">
        <v>2</v>
      </c>
      <c r="AA336" t="b">
        <v>0</v>
      </c>
    </row>
    <row r="337" spans="1:27" x14ac:dyDescent="0.3">
      <c r="A337" t="s">
        <v>285</v>
      </c>
      <c r="B337" t="s">
        <v>285</v>
      </c>
      <c r="C337"/>
      <c r="D337"/>
      <c r="E337"/>
      <c r="F337"/>
      <c r="G337">
        <v>2.5333333339999999</v>
      </c>
      <c r="H337">
        <v>1</v>
      </c>
      <c r="I337">
        <v>0</v>
      </c>
      <c r="J337">
        <v>0</v>
      </c>
      <c r="K337">
        <v>0</v>
      </c>
      <c r="L337">
        <v>0</v>
      </c>
      <c r="M337">
        <v>1</v>
      </c>
      <c r="N337">
        <v>0</v>
      </c>
      <c r="O337">
        <v>0</v>
      </c>
      <c r="P337">
        <v>0</v>
      </c>
      <c r="Q337">
        <v>0</v>
      </c>
      <c r="R337">
        <v>0</v>
      </c>
      <c r="S337">
        <v>0</v>
      </c>
      <c r="T337">
        <v>0</v>
      </c>
      <c r="U337">
        <v>0</v>
      </c>
      <c r="V337">
        <v>0</v>
      </c>
      <c r="W337">
        <v>0</v>
      </c>
      <c r="X337">
        <v>0</v>
      </c>
      <c r="Y337">
        <v>2</v>
      </c>
      <c r="Z337">
        <v>0</v>
      </c>
      <c r="AA337" t="b">
        <v>1</v>
      </c>
    </row>
    <row r="338" spans="1:27" x14ac:dyDescent="0.3">
      <c r="A338" t="s">
        <v>286</v>
      </c>
      <c r="B338"/>
      <c r="C338" t="s">
        <v>450</v>
      </c>
      <c r="D338"/>
      <c r="E338"/>
      <c r="F338"/>
      <c r="G338">
        <v>3.563461539</v>
      </c>
      <c r="H338">
        <v>0</v>
      </c>
      <c r="I338">
        <v>0</v>
      </c>
      <c r="J338">
        <v>0</v>
      </c>
      <c r="K338">
        <v>1</v>
      </c>
      <c r="L338">
        <v>1</v>
      </c>
      <c r="M338">
        <v>0</v>
      </c>
      <c r="N338">
        <v>0</v>
      </c>
      <c r="O338">
        <v>1</v>
      </c>
      <c r="P338">
        <v>0</v>
      </c>
      <c r="Q338">
        <v>0</v>
      </c>
      <c r="R338">
        <v>0</v>
      </c>
      <c r="S338">
        <v>0</v>
      </c>
      <c r="T338">
        <v>0</v>
      </c>
      <c r="U338">
        <v>1</v>
      </c>
      <c r="V338">
        <v>1</v>
      </c>
      <c r="W338">
        <v>1</v>
      </c>
      <c r="X338">
        <v>1</v>
      </c>
      <c r="Y338">
        <v>3</v>
      </c>
      <c r="Z338">
        <v>4</v>
      </c>
      <c r="AA338" t="b">
        <v>1</v>
      </c>
    </row>
    <row r="339" spans="1:27" x14ac:dyDescent="0.3">
      <c r="A339" t="s">
        <v>287</v>
      </c>
      <c r="B339" t="s">
        <v>287</v>
      </c>
      <c r="C339"/>
      <c r="D339"/>
      <c r="E339"/>
      <c r="F339"/>
      <c r="G339">
        <v>4.3624999999999998</v>
      </c>
      <c r="H339">
        <v>0</v>
      </c>
      <c r="I339">
        <v>0</v>
      </c>
      <c r="J339">
        <v>1</v>
      </c>
      <c r="K339">
        <v>1</v>
      </c>
      <c r="L339">
        <v>0</v>
      </c>
      <c r="M339">
        <v>0</v>
      </c>
      <c r="N339">
        <v>0</v>
      </c>
      <c r="O339">
        <v>0</v>
      </c>
      <c r="P339">
        <v>0</v>
      </c>
      <c r="Q339">
        <v>0</v>
      </c>
      <c r="R339">
        <v>0</v>
      </c>
      <c r="S339">
        <v>0</v>
      </c>
      <c r="T339">
        <v>0</v>
      </c>
      <c r="U339">
        <v>0</v>
      </c>
      <c r="V339">
        <v>1</v>
      </c>
      <c r="W339">
        <v>1</v>
      </c>
      <c r="X339">
        <v>1</v>
      </c>
      <c r="Y339">
        <v>2</v>
      </c>
      <c r="Z339">
        <v>3</v>
      </c>
      <c r="AA339" t="b">
        <v>0</v>
      </c>
    </row>
    <row r="340" spans="1:27" x14ac:dyDescent="0.3">
      <c r="A340" t="s">
        <v>288</v>
      </c>
      <c r="B340" t="s">
        <v>288</v>
      </c>
      <c r="C340"/>
      <c r="D340"/>
      <c r="E340"/>
      <c r="F340"/>
      <c r="G340">
        <v>4.2201515159999996</v>
      </c>
      <c r="H340">
        <v>1</v>
      </c>
      <c r="I340">
        <v>0</v>
      </c>
      <c r="J340">
        <v>0</v>
      </c>
      <c r="K340">
        <v>1</v>
      </c>
      <c r="L340">
        <v>0</v>
      </c>
      <c r="M340">
        <v>0</v>
      </c>
      <c r="N340">
        <v>0</v>
      </c>
      <c r="O340">
        <v>1</v>
      </c>
      <c r="P340">
        <v>1</v>
      </c>
      <c r="Q340">
        <v>0</v>
      </c>
      <c r="R340">
        <v>0</v>
      </c>
      <c r="S340">
        <v>0</v>
      </c>
      <c r="T340">
        <v>0</v>
      </c>
      <c r="U340">
        <v>0</v>
      </c>
      <c r="V340">
        <v>1</v>
      </c>
      <c r="W340">
        <v>1</v>
      </c>
      <c r="X340">
        <v>0</v>
      </c>
      <c r="Y340">
        <v>4</v>
      </c>
      <c r="Z340">
        <v>2</v>
      </c>
      <c r="AA340" t="b">
        <v>1</v>
      </c>
    </row>
    <row r="341" spans="1:27" s="2" customFormat="1" x14ac:dyDescent="0.3">
      <c r="A341" s="3" t="s">
        <v>299</v>
      </c>
      <c r="B341" s="3" t="s">
        <v>299</v>
      </c>
      <c r="C341" s="3"/>
      <c r="D341" s="3" t="s">
        <v>299</v>
      </c>
      <c r="E341" s="3" t="s">
        <v>299</v>
      </c>
      <c r="F341" s="3"/>
      <c r="G341" s="3">
        <v>4.6875</v>
      </c>
      <c r="H341" s="3">
        <v>0</v>
      </c>
      <c r="I341" s="3">
        <v>0</v>
      </c>
      <c r="J341" s="3">
        <v>0</v>
      </c>
      <c r="K341" s="3">
        <v>1</v>
      </c>
      <c r="L341" s="3">
        <v>0</v>
      </c>
      <c r="M341" s="3">
        <v>1</v>
      </c>
      <c r="N341" s="3">
        <v>0</v>
      </c>
      <c r="O341" s="3">
        <v>0</v>
      </c>
      <c r="P341" s="3">
        <v>1</v>
      </c>
      <c r="Q341" s="3">
        <v>0</v>
      </c>
      <c r="R341" s="3">
        <v>0</v>
      </c>
      <c r="S341" s="3">
        <v>1</v>
      </c>
      <c r="T341" s="3">
        <v>0</v>
      </c>
      <c r="U341" s="3">
        <v>0</v>
      </c>
      <c r="V341" s="3">
        <v>0</v>
      </c>
      <c r="W341" s="3">
        <v>0</v>
      </c>
      <c r="X341" s="3">
        <v>1</v>
      </c>
      <c r="Y341" s="3">
        <v>3</v>
      </c>
      <c r="Z341" s="3">
        <v>2</v>
      </c>
      <c r="AA341" s="3" t="b">
        <v>1</v>
      </c>
    </row>
    <row r="342" spans="1:27" x14ac:dyDescent="0.3">
      <c r="A342" t="s">
        <v>289</v>
      </c>
      <c r="B342" t="s">
        <v>289</v>
      </c>
      <c r="C342"/>
      <c r="D342"/>
      <c r="E342"/>
      <c r="F342"/>
      <c r="G342">
        <v>5.5250000000000004</v>
      </c>
      <c r="H342">
        <v>1</v>
      </c>
      <c r="I342">
        <v>0</v>
      </c>
      <c r="J342">
        <v>1</v>
      </c>
      <c r="K342">
        <v>0</v>
      </c>
      <c r="L342">
        <v>1</v>
      </c>
      <c r="M342">
        <v>0</v>
      </c>
      <c r="N342">
        <v>0</v>
      </c>
      <c r="O342">
        <v>0</v>
      </c>
      <c r="P342">
        <v>0</v>
      </c>
      <c r="Q342">
        <v>0</v>
      </c>
      <c r="R342">
        <v>0</v>
      </c>
      <c r="S342">
        <v>0</v>
      </c>
      <c r="T342">
        <v>0</v>
      </c>
      <c r="U342">
        <v>0</v>
      </c>
      <c r="V342">
        <v>0</v>
      </c>
      <c r="W342">
        <v>1</v>
      </c>
      <c r="X342">
        <v>1</v>
      </c>
      <c r="Y342">
        <v>3</v>
      </c>
      <c r="Z342">
        <v>2</v>
      </c>
      <c r="AA342" t="b">
        <v>1</v>
      </c>
    </row>
    <row r="343" spans="1:27" x14ac:dyDescent="0.3">
      <c r="A343" t="s">
        <v>290</v>
      </c>
      <c r="B343" t="s">
        <v>290</v>
      </c>
      <c r="C343"/>
      <c r="D343"/>
      <c r="E343"/>
      <c r="F343"/>
      <c r="G343">
        <v>5.5264636759999997</v>
      </c>
      <c r="H343">
        <v>1</v>
      </c>
      <c r="I343">
        <v>1</v>
      </c>
      <c r="J343">
        <v>1</v>
      </c>
      <c r="K343">
        <v>1</v>
      </c>
      <c r="L343">
        <v>0</v>
      </c>
      <c r="M343">
        <v>1</v>
      </c>
      <c r="N343">
        <v>0</v>
      </c>
      <c r="O343">
        <v>0</v>
      </c>
      <c r="P343">
        <v>1</v>
      </c>
      <c r="Q343">
        <v>0</v>
      </c>
      <c r="R343">
        <v>0</v>
      </c>
      <c r="S343">
        <v>1</v>
      </c>
      <c r="T343">
        <v>0</v>
      </c>
      <c r="U343">
        <v>0</v>
      </c>
      <c r="V343">
        <v>0</v>
      </c>
      <c r="W343">
        <v>0</v>
      </c>
      <c r="X343">
        <v>1</v>
      </c>
      <c r="Y343">
        <v>6</v>
      </c>
      <c r="Z343">
        <v>2</v>
      </c>
      <c r="AA343" t="b">
        <v>1</v>
      </c>
    </row>
    <row r="344" spans="1:27" x14ac:dyDescent="0.3">
      <c r="A344" t="s">
        <v>291</v>
      </c>
      <c r="B344" t="s">
        <v>291</v>
      </c>
      <c r="C344"/>
      <c r="D344"/>
      <c r="E344"/>
      <c r="F344"/>
      <c r="G344">
        <v>5.3416666670000001</v>
      </c>
      <c r="H344">
        <v>1</v>
      </c>
      <c r="I344">
        <v>0</v>
      </c>
      <c r="J344">
        <v>1</v>
      </c>
      <c r="K344">
        <v>1</v>
      </c>
      <c r="L344">
        <v>0</v>
      </c>
      <c r="M344">
        <v>1</v>
      </c>
      <c r="N344">
        <v>1</v>
      </c>
      <c r="O344">
        <v>0</v>
      </c>
      <c r="P344">
        <v>0</v>
      </c>
      <c r="Q344">
        <v>0</v>
      </c>
      <c r="R344">
        <v>0</v>
      </c>
      <c r="S344">
        <v>1</v>
      </c>
      <c r="T344">
        <v>0</v>
      </c>
      <c r="U344">
        <v>0</v>
      </c>
      <c r="V344">
        <v>0</v>
      </c>
      <c r="W344">
        <v>0</v>
      </c>
      <c r="X344">
        <v>1</v>
      </c>
      <c r="Y344">
        <v>5</v>
      </c>
      <c r="Z344">
        <v>2</v>
      </c>
      <c r="AA344" t="b">
        <v>1</v>
      </c>
    </row>
    <row r="345" spans="1:27" x14ac:dyDescent="0.3">
      <c r="A345" t="s">
        <v>292</v>
      </c>
      <c r="B345" s="3" t="s">
        <v>494</v>
      </c>
      <c r="C345" t="s">
        <v>451</v>
      </c>
      <c r="D345" t="s">
        <v>292</v>
      </c>
      <c r="E345"/>
      <c r="F345"/>
      <c r="G345">
        <v>2.9</v>
      </c>
      <c r="H345">
        <v>1</v>
      </c>
      <c r="I345">
        <v>0</v>
      </c>
      <c r="J345">
        <v>0</v>
      </c>
      <c r="K345">
        <v>1</v>
      </c>
      <c r="L345">
        <v>1</v>
      </c>
      <c r="M345">
        <v>1</v>
      </c>
      <c r="N345">
        <v>0</v>
      </c>
      <c r="O345">
        <v>0</v>
      </c>
      <c r="P345">
        <v>0</v>
      </c>
      <c r="Q345">
        <v>0</v>
      </c>
      <c r="R345">
        <v>0</v>
      </c>
      <c r="S345">
        <v>0</v>
      </c>
      <c r="T345">
        <v>0</v>
      </c>
      <c r="U345">
        <v>0</v>
      </c>
      <c r="V345">
        <v>0</v>
      </c>
      <c r="W345">
        <v>1</v>
      </c>
      <c r="X345">
        <v>1</v>
      </c>
      <c r="Y345">
        <v>4</v>
      </c>
      <c r="Z345">
        <v>2</v>
      </c>
      <c r="AA345" t="b">
        <v>0</v>
      </c>
    </row>
    <row r="346" spans="1:27" x14ac:dyDescent="0.3">
      <c r="A346" t="s">
        <v>292</v>
      </c>
      <c r="B346" s="3" t="s">
        <v>489</v>
      </c>
      <c r="C346" t="s">
        <v>451</v>
      </c>
      <c r="D346" t="s">
        <v>292</v>
      </c>
      <c r="E346"/>
      <c r="F346"/>
      <c r="G346">
        <v>2.9</v>
      </c>
      <c r="H346">
        <v>1</v>
      </c>
      <c r="I346">
        <v>0</v>
      </c>
      <c r="J346">
        <v>0</v>
      </c>
      <c r="K346">
        <v>1</v>
      </c>
      <c r="L346">
        <v>1</v>
      </c>
      <c r="M346">
        <v>1</v>
      </c>
      <c r="N346">
        <v>0</v>
      </c>
      <c r="O346">
        <v>0</v>
      </c>
      <c r="P346">
        <v>0</v>
      </c>
      <c r="Q346">
        <v>0</v>
      </c>
      <c r="R346">
        <v>0</v>
      </c>
      <c r="S346">
        <v>0</v>
      </c>
      <c r="T346">
        <v>0</v>
      </c>
      <c r="U346">
        <v>0</v>
      </c>
      <c r="V346">
        <v>0</v>
      </c>
      <c r="W346">
        <v>1</v>
      </c>
      <c r="X346">
        <v>1</v>
      </c>
      <c r="Y346">
        <v>4</v>
      </c>
      <c r="Z346">
        <v>2</v>
      </c>
      <c r="AA346" t="b">
        <v>0</v>
      </c>
    </row>
    <row r="347" spans="1:27" x14ac:dyDescent="0.3">
      <c r="A347" t="s">
        <v>293</v>
      </c>
      <c r="B347" t="s">
        <v>293</v>
      </c>
      <c r="C347"/>
      <c r="D347"/>
      <c r="E347"/>
      <c r="F347"/>
      <c r="G347">
        <v>5.2673611109999996</v>
      </c>
      <c r="H347">
        <v>1</v>
      </c>
      <c r="I347">
        <v>0</v>
      </c>
      <c r="J347">
        <v>0</v>
      </c>
      <c r="K347">
        <v>0</v>
      </c>
      <c r="L347">
        <v>0</v>
      </c>
      <c r="M347">
        <v>0</v>
      </c>
      <c r="N347">
        <v>1</v>
      </c>
      <c r="O347">
        <v>0</v>
      </c>
      <c r="P347">
        <v>0</v>
      </c>
      <c r="Q347">
        <v>1</v>
      </c>
      <c r="R347">
        <v>0</v>
      </c>
      <c r="S347">
        <v>0</v>
      </c>
      <c r="T347">
        <v>0</v>
      </c>
      <c r="U347">
        <v>0</v>
      </c>
      <c r="V347">
        <v>0</v>
      </c>
      <c r="W347">
        <v>0</v>
      </c>
      <c r="X347">
        <v>0</v>
      </c>
      <c r="Y347">
        <v>3</v>
      </c>
      <c r="Z347">
        <v>0</v>
      </c>
      <c r="AA347" t="b">
        <v>1</v>
      </c>
    </row>
  </sheetData>
  <autoFilter ref="A1:AA33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butterflyTraits_add_missing_spe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Jens Christian Ulrich</cp:lastModifiedBy>
  <dcterms:created xsi:type="dcterms:W3CDTF">2023-06-28T05:18:40Z</dcterms:created>
  <dcterms:modified xsi:type="dcterms:W3CDTF">2026-01-26T16:59:13Z</dcterms:modified>
</cp:coreProperties>
</file>